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rian Bautista\Documents\ER-Oficina Nacional\2026\Tienda ER\"/>
    </mc:Choice>
  </mc:AlternateContent>
  <bookViews>
    <workbookView xWindow="238" yWindow="601" windowWidth="2129" windowHeight="0" firstSheet="4" activeTab="6"/>
  </bookViews>
  <sheets>
    <sheet name="Productos-Precios de Venta" sheetId="1" r:id="rId1"/>
    <sheet name="Hoja1" sheetId="7" r:id="rId2"/>
    <sheet name="Productos-preciosDeCompra" sheetId="2" r:id="rId3"/>
    <sheet name="hoj" sheetId="3" r:id="rId4"/>
    <sheet name="Dest registrados 2026" sheetId="6" r:id="rId5"/>
    <sheet name="PRECIOS INSIGNIAS" sheetId="4" r:id="rId6"/>
    <sheet name="Orden Premios" sheetId="8" r:id="rId7"/>
  </sheets>
  <definedNames>
    <definedName name="_xlnm.Print_Area" localSheetId="0">'Productos-Precios de Venta'!$B$1:$K$50</definedName>
  </definedNames>
  <calcPr calcId="162913"/>
</workbook>
</file>

<file path=xl/calcChain.xml><?xml version="1.0" encoding="utf-8"?>
<calcChain xmlns="http://schemas.openxmlformats.org/spreadsheetml/2006/main">
  <c r="F46" i="4" l="1"/>
  <c r="F47" i="4"/>
  <c r="F48" i="4"/>
  <c r="F49" i="4"/>
  <c r="F50" i="4"/>
  <c r="F51" i="4"/>
  <c r="F52" i="4"/>
  <c r="F9" i="4"/>
  <c r="F10" i="4"/>
  <c r="F11" i="4"/>
  <c r="F12" i="4"/>
  <c r="F13" i="4"/>
  <c r="F14" i="4"/>
  <c r="F15" i="4"/>
  <c r="F16" i="4"/>
  <c r="M14" i="1" l="1"/>
  <c r="M36" i="1" l="1"/>
  <c r="M37" i="1"/>
  <c r="M39" i="1"/>
  <c r="F53" i="4" l="1"/>
  <c r="F8" i="4"/>
  <c r="F7" i="4"/>
  <c r="M38" i="1" l="1"/>
  <c r="M35" i="1"/>
  <c r="M22" i="1"/>
  <c r="M32" i="1" l="1"/>
  <c r="M34" i="1"/>
  <c r="M30" i="1"/>
  <c r="M31" i="1"/>
  <c r="M33" i="1"/>
  <c r="M13" i="1"/>
  <c r="M12" i="1"/>
  <c r="M18" i="1"/>
  <c r="M16" i="1"/>
  <c r="M15" i="1"/>
  <c r="M17" i="1"/>
  <c r="M24" i="1"/>
  <c r="M20" i="1"/>
  <c r="M21" i="1"/>
  <c r="M19" i="1"/>
  <c r="M23" i="1"/>
  <c r="M25" i="1"/>
  <c r="M28" i="1"/>
  <c r="M29" i="1"/>
  <c r="D121" i="1" l="1"/>
  <c r="E65" i="1"/>
  <c r="E66" i="1"/>
  <c r="E67" i="1"/>
  <c r="E68" i="1"/>
  <c r="E69" i="1"/>
  <c r="E70" i="1"/>
  <c r="E71" i="1"/>
  <c r="E72" i="1"/>
  <c r="E73" i="1"/>
  <c r="E64"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26" i="1"/>
  <c r="E27" i="1"/>
  <c r="E28" i="1"/>
  <c r="E29" i="1"/>
  <c r="E30" i="1"/>
  <c r="E31" i="1"/>
  <c r="E18" i="1"/>
  <c r="E19" i="1"/>
  <c r="E20" i="1"/>
  <c r="E21" i="1"/>
  <c r="E22" i="1"/>
  <c r="E23" i="1"/>
  <c r="E24" i="1"/>
  <c r="E25" i="1"/>
  <c r="E8" i="1"/>
  <c r="E9" i="1"/>
  <c r="E10" i="1"/>
  <c r="E11" i="1"/>
  <c r="E12" i="1"/>
  <c r="E13" i="1"/>
  <c r="E14" i="1"/>
  <c r="E15" i="1"/>
  <c r="E16" i="1"/>
  <c r="E17" i="1"/>
  <c r="E7" i="1"/>
  <c r="E6" i="1"/>
  <c r="E57" i="3" l="1"/>
  <c r="E56" i="3"/>
  <c r="E55" i="3"/>
  <c r="E54" i="3"/>
  <c r="E53" i="3"/>
  <c r="E52"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alcChain>
</file>

<file path=xl/sharedStrings.xml><?xml version="1.0" encoding="utf-8"?>
<sst xmlns="http://schemas.openxmlformats.org/spreadsheetml/2006/main" count="1435" uniqueCount="557">
  <si>
    <t>Lista de precios de productos</t>
  </si>
  <si>
    <t>Última actualización [FECHA]</t>
  </si>
  <si>
    <t>Número de producto</t>
  </si>
  <si>
    <t>Nombre</t>
  </si>
  <si>
    <t>Emblema grande</t>
  </si>
  <si>
    <t>Emblema pequeno</t>
  </si>
  <si>
    <t>Insignia geografica bandera RD</t>
  </si>
  <si>
    <t>Gorra oficial Exploradores del Rey</t>
  </si>
  <si>
    <t>Camiseta oficial Exploradores del Rey RD</t>
  </si>
  <si>
    <t>Distintivo Exploradores del Rey (lideres)</t>
  </si>
  <si>
    <t>Corbata bolo oficial Emblema ER</t>
  </si>
  <si>
    <t>Correa nylon hebilla dorada</t>
  </si>
  <si>
    <t>Distintivo de grupo Navegantes</t>
  </si>
  <si>
    <t>Distintivo de grupo Pioneros</t>
  </si>
  <si>
    <t>Distintivo de grupo Seguidores</t>
  </si>
  <si>
    <t>Distintivo de grupo Exploradores</t>
  </si>
  <si>
    <t>Corbata bolo Navegantes</t>
  </si>
  <si>
    <t>Corbata bolo Pioneros</t>
  </si>
  <si>
    <t>Corbata bolo Seguidores de la Senda</t>
  </si>
  <si>
    <t>Corbata bolo Exploradores</t>
  </si>
  <si>
    <t>Insignia posicion local Pastor</t>
  </si>
  <si>
    <t>Insignia posicion local Coordinador de destacamento</t>
  </si>
  <si>
    <t>Insignia posicion local Capellan</t>
  </si>
  <si>
    <t>Insignia posicion local Consejo de destacamento</t>
  </si>
  <si>
    <t>Insignia posicion local Coordinador asistente</t>
  </si>
  <si>
    <t>Insignia posicion local Lider de Grupo</t>
  </si>
  <si>
    <t>Insignia posicion local Lider asistente</t>
  </si>
  <si>
    <t>Insignia posicion local Lider Juvenil</t>
  </si>
  <si>
    <t>Insignia posicion local Guia Mayor</t>
  </si>
  <si>
    <t>Insignia posicion local Guia Mayor auxiliar</t>
  </si>
  <si>
    <t>Insignia posicion local Guia de Patrulla</t>
  </si>
  <si>
    <t>Insignia posicion local Guia auxiliar</t>
  </si>
  <si>
    <t>Insignia posicion local Especialista en Comunicaciones</t>
  </si>
  <si>
    <t>Insignia posicion local Supervisor de Equipo</t>
  </si>
  <si>
    <t>Insignia posicion local Capellan Auxiliar</t>
  </si>
  <si>
    <t>Insignia posicion local Historiador</t>
  </si>
  <si>
    <t>Insignia posicion local Miembro de Patrulla</t>
  </si>
  <si>
    <t>Pin de Emblema ER</t>
  </si>
  <si>
    <t>Emblema de grupo Navegantes</t>
  </si>
  <si>
    <t>Emblema de grupo Pioneros</t>
  </si>
  <si>
    <t>Emblema de grupo Seguidores de la Senda</t>
  </si>
  <si>
    <t>Emblema de grupo Exploradores</t>
  </si>
  <si>
    <t>Barra para 1 cinta</t>
  </si>
  <si>
    <t>Barra para 2 cintas</t>
  </si>
  <si>
    <t>Barra para 3 cintas</t>
  </si>
  <si>
    <t>Cina de merito Café</t>
  </si>
  <si>
    <t>Cinta de merito Verde</t>
  </si>
  <si>
    <t>Cinta de merito Amarillo</t>
  </si>
  <si>
    <t>Cinta de merito Platino</t>
  </si>
  <si>
    <t>Cinta de merito Celeste</t>
  </si>
  <si>
    <t>Cinta de merito Naranja</t>
  </si>
  <si>
    <t>Cinta de merito Azul</t>
  </si>
  <si>
    <t>Cinta de merito Rojo</t>
  </si>
  <si>
    <t>Numero de metal para cinta #0</t>
  </si>
  <si>
    <t>Numero de metal para cinta #1</t>
  </si>
  <si>
    <t>Numero de metal para cinta #2</t>
  </si>
  <si>
    <t>Numero de metal para cinta #3</t>
  </si>
  <si>
    <t>Numero de metal para cinta #4</t>
  </si>
  <si>
    <t>Numero de metal para cinta #5</t>
  </si>
  <si>
    <t>Numero de metal para cinta #6</t>
  </si>
  <si>
    <t>Numero de metal para cinta #7</t>
  </si>
  <si>
    <t>Numero de metal para cinta #8</t>
  </si>
  <si>
    <t>Numero de metal para cinta #9</t>
  </si>
  <si>
    <t>Numero de destacamento 0</t>
  </si>
  <si>
    <t>Numero de destacamento 1</t>
  </si>
  <si>
    <t>Numero de destacamento 2</t>
  </si>
  <si>
    <t>Numero de destacamento 3</t>
  </si>
  <si>
    <t>Numero de destacamento 4</t>
  </si>
  <si>
    <t>Numero de destacamento 5</t>
  </si>
  <si>
    <t>Numero de destacamento 6/9</t>
  </si>
  <si>
    <t>Numero de destacamento 7</t>
  </si>
  <si>
    <t>Numero de destacamento 8</t>
  </si>
  <si>
    <t>Parche de ascenso Plata Navegantes</t>
  </si>
  <si>
    <t>Parche de ascenso Oro Navegantes</t>
  </si>
  <si>
    <t>Parche de ascenso Bronce Navegantes</t>
  </si>
  <si>
    <t>Parche de ascenso Bronce Pioneros</t>
  </si>
  <si>
    <t>Parche de ascenso Plata Pioneros</t>
  </si>
  <si>
    <t>Parche de ascenso Oro Pioneros</t>
  </si>
  <si>
    <t>Parche de ascenso Bronce Seguidores</t>
  </si>
  <si>
    <t>Parche de ascenso Plata Seguidores</t>
  </si>
  <si>
    <t>Parche de ascenso Oro Seguidores</t>
  </si>
  <si>
    <t>Parche de ascenso E1 Exploradores</t>
  </si>
  <si>
    <t>Parche de ascenso E2 Exploradores</t>
  </si>
  <si>
    <t>Parche de ascenso E3 Exploradores</t>
  </si>
  <si>
    <t>Cinta de logro Navegantes</t>
  </si>
  <si>
    <t>Cinta de logro Pioneros</t>
  </si>
  <si>
    <t>Cinta de logro Seguidores</t>
  </si>
  <si>
    <t>Cinta de logro Exploradores</t>
  </si>
  <si>
    <t>Cinta de Oro al Logro de Honor</t>
  </si>
  <si>
    <t>Cinta de la Senda del Sable</t>
  </si>
  <si>
    <t>Cinta de Servicio Especial</t>
  </si>
  <si>
    <t>Cinta al Pastor</t>
  </si>
  <si>
    <t>Cinta Lider de Grupo</t>
  </si>
  <si>
    <t>Cinta de Servicio Destacado</t>
  </si>
  <si>
    <t>Cinta Coordinador de Destacamento</t>
  </si>
  <si>
    <t>Cinta de Misiones</t>
  </si>
  <si>
    <t>Cinta a la Excelencia</t>
  </si>
  <si>
    <t>Cinta al Coraje</t>
  </si>
  <si>
    <t>Cinta al Valor</t>
  </si>
  <si>
    <t>Cinta Servicio Nacional destacado</t>
  </si>
  <si>
    <t>Cinta Merito Nacional</t>
  </si>
  <si>
    <t>Cinta Liderazgo Organizacional Nivel 4</t>
  </si>
  <si>
    <t>Cinta Liderazgo Organizacional Nivel 3</t>
  </si>
  <si>
    <t>Cinta Liderazgo Organizacional Nivel 2</t>
  </si>
  <si>
    <t>Cinta Liderazgo Organizacional Nivel 1</t>
  </si>
  <si>
    <t>Parche de la Senda del Sable</t>
  </si>
  <si>
    <t>Parche de MOLH</t>
  </si>
  <si>
    <t>Corbata bolo CNM</t>
  </si>
  <si>
    <t>Corbata bolo AJ</t>
  </si>
  <si>
    <t>Corbata bolo AN</t>
  </si>
  <si>
    <t>Corbata bolo AA</t>
  </si>
  <si>
    <t>Corbata bolo IA</t>
  </si>
  <si>
    <t>Precio por UD aprox.</t>
  </si>
  <si>
    <t>Precio de venta (+0.15)*</t>
  </si>
  <si>
    <t>[EXPLORADORES DEL REY], [OFICINA NACIONAL], [Sto Dgo Oeste], [809-564-3454]  Web Site: [www.errd.org.do]</t>
  </si>
  <si>
    <t>Precio de venta</t>
  </si>
  <si>
    <t>Distintivos de grupo</t>
  </si>
  <si>
    <t>Distintivo "Exploradores del Rey" (lideres)</t>
  </si>
  <si>
    <t>Insignia posicion local (rango)</t>
  </si>
  <si>
    <t>Precio BASE</t>
  </si>
  <si>
    <t>Articulo</t>
  </si>
  <si>
    <t>Precio ud</t>
  </si>
  <si>
    <t>Producto</t>
  </si>
  <si>
    <t>Precio</t>
  </si>
  <si>
    <t>Cantidad</t>
  </si>
  <si>
    <t>Distribuidor</t>
  </si>
  <si>
    <t>Gorra ER</t>
  </si>
  <si>
    <t>Camiseta ERRD</t>
  </si>
  <si>
    <t>Chaleco</t>
  </si>
  <si>
    <t>Emblema Grande</t>
  </si>
  <si>
    <t>Emblema Pequeno</t>
  </si>
  <si>
    <t>Numero 0</t>
  </si>
  <si>
    <t>Numero 1</t>
  </si>
  <si>
    <t>Numero 2</t>
  </si>
  <si>
    <t>Numero 3</t>
  </si>
  <si>
    <t>Numero 4</t>
  </si>
  <si>
    <t>Numero 5</t>
  </si>
  <si>
    <t>Numero 7</t>
  </si>
  <si>
    <t>Numero 8</t>
  </si>
  <si>
    <t>Numero 6/9</t>
  </si>
  <si>
    <t xml:space="preserve">Usb Curriculo </t>
  </si>
  <si>
    <t>RRI</t>
  </si>
  <si>
    <t>Distintivo EXPLORADORES DEL REY</t>
  </si>
  <si>
    <t>Distintivo PIONEROS</t>
  </si>
  <si>
    <t>Distintivo SEGUIDORES</t>
  </si>
  <si>
    <t>Distintivo EXPLORADORES</t>
  </si>
  <si>
    <t>Insignia geografica RD</t>
  </si>
  <si>
    <t>Insignia Lider de Grupo 2.0</t>
  </si>
  <si>
    <t>Insignia Lider Asistente 2.0</t>
  </si>
  <si>
    <t>Categoria</t>
  </si>
  <si>
    <t>Insignia Pastor 2.0</t>
  </si>
  <si>
    <t>Insginia Coordinador de dest. 2.0</t>
  </si>
  <si>
    <t>Insignia Capellan 2.0</t>
  </si>
  <si>
    <t>Insignia Consejo de dest. 2.0</t>
  </si>
  <si>
    <t>Lider</t>
  </si>
  <si>
    <t>Muchachos</t>
  </si>
  <si>
    <t>General</t>
  </si>
  <si>
    <t>Insignia Lider Juvenil</t>
  </si>
  <si>
    <t>Insignia Guia Mayor</t>
  </si>
  <si>
    <t>Insignia Guia Mayor Auxiliar 2.0</t>
  </si>
  <si>
    <t>Insignia Guia Patrulla</t>
  </si>
  <si>
    <t xml:space="preserve">Insignia Guia Auxiliar </t>
  </si>
  <si>
    <t>Insignia Especialista comunicacion</t>
  </si>
  <si>
    <t>Insignia Capellan Auxiliar</t>
  </si>
  <si>
    <t>Insignia Supervisor de Equipo</t>
  </si>
  <si>
    <t>Insignia Historiador</t>
  </si>
  <si>
    <t>Corbata bolo ER</t>
  </si>
  <si>
    <t>Corbata bolo Seguidores</t>
  </si>
  <si>
    <t>PEDIDO Lote-2024-01</t>
  </si>
  <si>
    <t>Insignia Consejo Nacional</t>
  </si>
  <si>
    <t>Insginia Consejo Ejecutivo</t>
  </si>
  <si>
    <t>Franklin Perez</t>
  </si>
  <si>
    <t>Costo</t>
  </si>
  <si>
    <t>þ</t>
  </si>
  <si>
    <t>Insignia organizacional nivel 2</t>
  </si>
  <si>
    <t>Insignia organizacional nivel 3</t>
  </si>
  <si>
    <t>Cinta Lider grupo</t>
  </si>
  <si>
    <t>Cinta Aguila Dorada</t>
  </si>
  <si>
    <t>Cinta servicio especial</t>
  </si>
  <si>
    <t>Parche 50 km</t>
  </si>
  <si>
    <t>Organizacional</t>
  </si>
  <si>
    <t>Curricular</t>
  </si>
  <si>
    <t>Premios</t>
  </si>
  <si>
    <t>Producto/insignia</t>
  </si>
  <si>
    <t>Parches adiestramiento</t>
  </si>
  <si>
    <t>Nivel Avanzado</t>
  </si>
  <si>
    <t>Hebilla dorada</t>
  </si>
  <si>
    <t>Libro Como ser un joven ideal</t>
  </si>
  <si>
    <t>Camisa Utilitaria</t>
  </si>
  <si>
    <t>Numeros bordados ud (0-9)</t>
  </si>
  <si>
    <t>Cinta (al coraje, a la excelencia, nivel 1, nivel 2, nivel 3, nivel 4)</t>
  </si>
  <si>
    <t>Barra para dos cintas</t>
  </si>
  <si>
    <t>Barra para tres cintas</t>
  </si>
  <si>
    <t>Cinta (al valor, MOLH, merito nacional, servicio sobresaliente)</t>
  </si>
  <si>
    <t>Cintas (al logro N, al logro P, al logro SS, al logro E, senda del sable, taller teorico, taller practico, servicio lider juvenil, servicio especial, servicio destacado, lider grupo, coordinador de dest., pastor, misiones).</t>
  </si>
  <si>
    <t>Renglon</t>
  </si>
  <si>
    <t>Restringido</t>
  </si>
  <si>
    <t>Corbata bolo Navegantes, Pioneros, Seguidores, Exploradores</t>
  </si>
  <si>
    <t>Numero de metal para cintas (0-9)</t>
  </si>
  <si>
    <t>Niveles Preparado, Seguridad y Adiestrado</t>
  </si>
  <si>
    <t>Pin oficial Exploradores del Rey</t>
  </si>
  <si>
    <t>Insignia Consejo Nacional/Ejecutivo</t>
  </si>
  <si>
    <t>Camisa uniforme Utilitario</t>
  </si>
  <si>
    <r>
      <t>Precio de venta</t>
    </r>
    <r>
      <rPr>
        <b/>
        <sz val="8"/>
        <color theme="4" tint="-0.499984740745262"/>
        <rFont val="Tahoma"/>
        <family val="2"/>
      </rPr>
      <t>2</t>
    </r>
  </si>
  <si>
    <t xml:space="preserve">         TIENDA ERRD</t>
  </si>
  <si>
    <t>Insignia organizacional (niveles 1-4)</t>
  </si>
  <si>
    <t>Cintas (naranja, azul, roja, café, verde, amarilla, platino, celeste)</t>
  </si>
  <si>
    <t>DESTACAMENTOS No Registrados</t>
  </si>
  <si>
    <t>Estado</t>
  </si>
  <si>
    <t>Nivel Preparado</t>
  </si>
  <si>
    <t>Nivel Adiestrado</t>
  </si>
  <si>
    <t>Correa nylon negra hebilla plateada</t>
  </si>
  <si>
    <t>Correa nylon caqui hebilla dorada</t>
  </si>
  <si>
    <t>Gorra Exploradores del Rey</t>
  </si>
  <si>
    <t>Camiseta ER (4-14)</t>
  </si>
  <si>
    <t>Camiseta ER (16-M)</t>
  </si>
  <si>
    <t>Camiseta ER (L-XL)</t>
  </si>
  <si>
    <t>Parches adiestramiento (ILJ, OLI, ACD, CBD, F, M, SE, CNM, DCM)</t>
  </si>
  <si>
    <t>Corbata bolo Emblema ER</t>
  </si>
  <si>
    <t xml:space="preserve">General </t>
  </si>
  <si>
    <t>Pin Campamento Heroes</t>
  </si>
  <si>
    <t>Libro de registro de avance Lid, Nav, P, S y E</t>
  </si>
  <si>
    <t>Parches de grupo (para chaleco de premios)</t>
  </si>
  <si>
    <t>Manual de aventuras campestres</t>
  </si>
  <si>
    <t>Emblema pequeño</t>
  </si>
  <si>
    <t>Parche adiestramiento ILJ</t>
  </si>
  <si>
    <t>Pin Campamento 2024 Heroes</t>
  </si>
  <si>
    <t xml:space="preserve">Parche especial campamento nac 2024 Heroes </t>
  </si>
  <si>
    <t>Numero bordado ud (0)</t>
  </si>
  <si>
    <t>Numero bordado ud (1)</t>
  </si>
  <si>
    <t>Numero bordado ud (2)</t>
  </si>
  <si>
    <t>Numero bordado ud (3)</t>
  </si>
  <si>
    <t>Numero bordado ud (4)</t>
  </si>
  <si>
    <t>Numero bordado ud (5)</t>
  </si>
  <si>
    <t>Numero bordado ud (6/9)</t>
  </si>
  <si>
    <t>Numero bordado ud (7)</t>
  </si>
  <si>
    <t>Numero bordado ud (8)</t>
  </si>
  <si>
    <t>Insignia organizacional (niveles 1)</t>
  </si>
  <si>
    <t>Insignia organizacional (niveles 2)</t>
  </si>
  <si>
    <t>Insignia organizacional (niveles 3)</t>
  </si>
  <si>
    <t>Insignia organizacional (niveles 4)</t>
  </si>
  <si>
    <t>Cinta Naranja</t>
  </si>
  <si>
    <t>Cinta Roja</t>
  </si>
  <si>
    <t>Cinta Azul</t>
  </si>
  <si>
    <t>Cinta Café</t>
  </si>
  <si>
    <t>Cinta Verde</t>
  </si>
  <si>
    <t>Cinta Amarilla</t>
  </si>
  <si>
    <t>Cinta Platino</t>
  </si>
  <si>
    <t>Cinta Celeste</t>
  </si>
  <si>
    <t>Parche de grupo Navegantes</t>
  </si>
  <si>
    <t>Parche de grupo Pioneros</t>
  </si>
  <si>
    <t>Parche de grupo Seguidores</t>
  </si>
  <si>
    <t>Parche de grupo Exploradores</t>
  </si>
  <si>
    <t>Numero de metal para cintas (0)</t>
  </si>
  <si>
    <t>Numero de metal para cintas (1)</t>
  </si>
  <si>
    <t>Numero de metal para cintas (2)</t>
  </si>
  <si>
    <t>Numero de metal para cintas (3)</t>
  </si>
  <si>
    <t>Numero de metal para cintas (4)</t>
  </si>
  <si>
    <t>Numero de metal para cintas (5)</t>
  </si>
  <si>
    <t>Numero de metal para cintas (6/9)</t>
  </si>
  <si>
    <t>Numero de metal para cintas (7)</t>
  </si>
  <si>
    <t>Numero de metal para cintas (8)</t>
  </si>
  <si>
    <t>Cinta Senda del sable</t>
  </si>
  <si>
    <t>Cinta Servicio Lider Juvenil</t>
  </si>
  <si>
    <t>Cinta Proyecto de Misiones</t>
  </si>
  <si>
    <t>Cinta Al Logro Navegantes</t>
  </si>
  <si>
    <t>Cinta Al Logro Pioneros</t>
  </si>
  <si>
    <t>Cinta Taller teorico</t>
  </si>
  <si>
    <t>Cinta Taller practico</t>
  </si>
  <si>
    <t>Cinta Servicio Especial</t>
  </si>
  <si>
    <t>Cinta Servicio Destacado</t>
  </si>
  <si>
    <t>Cinta Lider Grupo</t>
  </si>
  <si>
    <t>Cinta Coordinador de Dest.</t>
  </si>
  <si>
    <t>Cinta Pastor</t>
  </si>
  <si>
    <t>Cinta Al Merito Nacional</t>
  </si>
  <si>
    <t>Cinta Al Servicio Sobresaliente Nac.</t>
  </si>
  <si>
    <t>Cinta Al Valor</t>
  </si>
  <si>
    <t>Cinta MOLH</t>
  </si>
  <si>
    <t>Cinta Al Logro Seguidores</t>
  </si>
  <si>
    <t>Cinta Al Logro Exploradores</t>
  </si>
  <si>
    <t>Estrella bronce</t>
  </si>
  <si>
    <t>Estrella plata</t>
  </si>
  <si>
    <t>Estrella dorada</t>
  </si>
  <si>
    <t>Cinta A la Excelencia</t>
  </si>
  <si>
    <t>Cinta Al coraje</t>
  </si>
  <si>
    <t>Parches adiestramiento ILJ</t>
  </si>
  <si>
    <t>Parches adiestramiento CBD</t>
  </si>
  <si>
    <t>Parches adiestramiento ACD</t>
  </si>
  <si>
    <t>Parches adiestramiento Mentores</t>
  </si>
  <si>
    <t>Parches adiestramiento Fundamentos</t>
  </si>
  <si>
    <t>Parches adiestramiento OLI</t>
  </si>
  <si>
    <t>Parches adiestramiento Seguridad</t>
  </si>
  <si>
    <t>Parches adiestramiento CNM</t>
  </si>
  <si>
    <t>Parches adiestramiento DCM</t>
  </si>
  <si>
    <t>Parches adiestramiento AJ</t>
  </si>
  <si>
    <t xml:space="preserve">Nivel Seguridad </t>
  </si>
  <si>
    <t>Insignia Consejo Ejecutivo</t>
  </si>
  <si>
    <t>Libro de registro de avance Lideres</t>
  </si>
  <si>
    <t>Libro de registro de avance Navegantes</t>
  </si>
  <si>
    <t>Libro de registro de avance Pioneros</t>
  </si>
  <si>
    <t>Libro de registro de avance Seguidores</t>
  </si>
  <si>
    <t>Libro de registro de avance Exploradores</t>
  </si>
  <si>
    <t>Camiseta ER (4)</t>
  </si>
  <si>
    <t>Camiseta ER (8)</t>
  </si>
  <si>
    <t>Camiseta ER (10)</t>
  </si>
  <si>
    <t>Camiseta ER (12)</t>
  </si>
  <si>
    <t>Camiseta ER (14)</t>
  </si>
  <si>
    <t>Camiseta ER (16/xs)</t>
  </si>
  <si>
    <t>Camiseta ER (18/S)</t>
  </si>
  <si>
    <t>Camiseta ER (M)</t>
  </si>
  <si>
    <t>Camiseta ER (L)</t>
  </si>
  <si>
    <t>Camiseta ER (XL)</t>
  </si>
  <si>
    <t>Camiseta ER (XXL)</t>
  </si>
  <si>
    <t>Camiseta ER (6)</t>
  </si>
  <si>
    <t>Chaleco de premios (S)</t>
  </si>
  <si>
    <t>Chaleco de premios (M)</t>
  </si>
  <si>
    <t>Chaleco de premios (L)</t>
  </si>
  <si>
    <t xml:space="preserve"> Articulo</t>
  </si>
  <si>
    <t>Insignia posicion local (Pastor)</t>
  </si>
  <si>
    <t>Insignia posicion local (Capellan)</t>
  </si>
  <si>
    <t>Insignia posicion local (Coordinador)</t>
  </si>
  <si>
    <t>Insignia posicion local (Coordinador asistente)</t>
  </si>
  <si>
    <t>Insignia posicion local (Consejo de dest.)</t>
  </si>
  <si>
    <t>Insignia posicion local (Lider juvenil)</t>
  </si>
  <si>
    <t>Restringida</t>
  </si>
  <si>
    <t>Insignia posicion local (Guia Mayor)</t>
  </si>
  <si>
    <t>Insignia posicion local (Guia Mayor aux.)</t>
  </si>
  <si>
    <t>Insignia posicion local (Guia)</t>
  </si>
  <si>
    <t>Insignia posicion local (Guia aux.)</t>
  </si>
  <si>
    <t>Insignia posicion local (Especialista com.)</t>
  </si>
  <si>
    <t>Insignia posicion local (Capellan aux.)</t>
  </si>
  <si>
    <t>Insignia posicion local (Supervisor equipo)</t>
  </si>
  <si>
    <t>Insignia posicion local (Historiador)</t>
  </si>
  <si>
    <t>Insignia posicion local (Miembro patrulla)</t>
  </si>
  <si>
    <t>Parche campamento</t>
  </si>
  <si>
    <t>Parche 25k</t>
  </si>
  <si>
    <t>Parche 50k</t>
  </si>
  <si>
    <t>Parche 100k</t>
  </si>
  <si>
    <t>Parche membresia '25</t>
  </si>
  <si>
    <t>Parche membresia '26</t>
  </si>
  <si>
    <t>Pin Instructor</t>
  </si>
  <si>
    <t>Pin Instructor juvenil</t>
  </si>
  <si>
    <t>DESTACAMENTOS REGISTRADOS 2026</t>
  </si>
  <si>
    <t>No registrados</t>
  </si>
  <si>
    <t>Parche 25 km</t>
  </si>
  <si>
    <t>Parche 100 km</t>
  </si>
  <si>
    <t>Corbata bolo oficial ~Emblema ER</t>
  </si>
  <si>
    <t xml:space="preserve"> TIENDA ERRD</t>
  </si>
  <si>
    <t>Insignia posicion local (Lider de grupo)</t>
  </si>
  <si>
    <t>Insignia posicion local (Lider asistente)</t>
  </si>
  <si>
    <t>Cordón de corbata bolo</t>
  </si>
  <si>
    <t>Parche campamento '26 Sacrificio</t>
  </si>
  <si>
    <t>Pin campamento '26 Sacrificio</t>
  </si>
  <si>
    <t xml:space="preserve">Bandera Cristiana (de tela) </t>
  </si>
  <si>
    <t>Bandera Exploradores del Rey (de tela)</t>
  </si>
  <si>
    <t>Parche campamento '22 50 aniversario</t>
  </si>
  <si>
    <t xml:space="preserve">Parche campamento </t>
  </si>
  <si>
    <t>Libro Convirtiendose en un Hombre de Dios -Douglas Marsh</t>
  </si>
  <si>
    <t>Parche campamento nac. '26 Sacrificio</t>
  </si>
  <si>
    <t>Pin campamento nac. '26 Sacrificio</t>
  </si>
  <si>
    <t>Precio de venta2</t>
  </si>
  <si>
    <t>ORDEN DE PREMIOS LIDERES (CINTAS)</t>
  </si>
  <si>
    <t>Medalla al valor</t>
  </si>
  <si>
    <t>Medalla al coraje</t>
  </si>
  <si>
    <t>MOL o MOLH</t>
  </si>
  <si>
    <t>Medalla al Merito Nacional</t>
  </si>
  <si>
    <t>Servicio sobresaliente Nacional</t>
  </si>
  <si>
    <t>Medalla a la Excelencia</t>
  </si>
  <si>
    <t>Proyecto de Misiones</t>
  </si>
  <si>
    <t>Servicio Sobresaliente Reg/Distrital</t>
  </si>
  <si>
    <t>Liderazgo [nivel 1] Ejecutivo Nacional o Estrella dorada</t>
  </si>
  <si>
    <t>Medalla al Pastor</t>
  </si>
  <si>
    <t>Medalla al Coordinador de destacamento</t>
  </si>
  <si>
    <t>Medalla al Lider de grupo</t>
  </si>
  <si>
    <t>Medalla al Servicio de destacamento</t>
  </si>
  <si>
    <t>Historica de Adiestramiento- MLL/CAL</t>
  </si>
  <si>
    <t xml:space="preserve">Senda del Sable </t>
  </si>
  <si>
    <t>Servicio Especial</t>
  </si>
  <si>
    <t>Premio mas alto logrado como muchacho, si no ganó la MOL/MOLH</t>
  </si>
  <si>
    <t>ORDEN DE PREMIOS LIDERES JR(CINTAS)</t>
  </si>
  <si>
    <t>Liderazgo [nivel 2] Nacional</t>
  </si>
  <si>
    <t>Liderazgo [nivel 4] Seccional</t>
  </si>
  <si>
    <t>Servicio Lider Juvenil</t>
  </si>
  <si>
    <t>Merito Celeste</t>
  </si>
  <si>
    <t>Merito Plata</t>
  </si>
  <si>
    <t>Merito Amarillo</t>
  </si>
  <si>
    <t>Merito Verde</t>
  </si>
  <si>
    <t>Merito Café</t>
  </si>
  <si>
    <t>Merito Rojo</t>
  </si>
  <si>
    <t>Merito Azul</t>
  </si>
  <si>
    <t>Merito Naranja</t>
  </si>
  <si>
    <t>Al Logro Exploradores (Senda E3)</t>
  </si>
  <si>
    <t>Al logro Seguidores (Senda oro S)</t>
  </si>
  <si>
    <t>Al logro Pioneros (Senda oro P)</t>
  </si>
  <si>
    <t>Al logro Navegantes (Senda oro N)</t>
  </si>
  <si>
    <t>Adiestramiento Continuo-Taller Práctico</t>
  </si>
  <si>
    <t>Adiestramiento Continuo-Taller Teórico</t>
  </si>
  <si>
    <t>Medalla al Mérito Nacional</t>
  </si>
  <si>
    <t>Medalla al Valor</t>
  </si>
  <si>
    <t>Medalla al Valentía (Coraje)</t>
  </si>
  <si>
    <t>Servicio Destacado Nacional</t>
  </si>
  <si>
    <t>Medalla de Liderazgo Global</t>
  </si>
  <si>
    <t>Disponible</t>
  </si>
  <si>
    <t>Agotado</t>
  </si>
  <si>
    <t>Distintivo de grupo (PIONEROS)</t>
  </si>
  <si>
    <t>Distintivo de grupo (SEGUIDORES)</t>
  </si>
  <si>
    <t>Distintivo de grupo (EXPLORADORES)</t>
  </si>
  <si>
    <t>Parche de grupo (PIONEROS)</t>
  </si>
  <si>
    <t>Parche de grupo (NAVEGANTES)</t>
  </si>
  <si>
    <t>Parche de grupo (SEGUIDORES)</t>
  </si>
  <si>
    <t>Parche de grupo (EXPLORADORES)</t>
  </si>
  <si>
    <t>Cinta (Valentia)</t>
  </si>
  <si>
    <t>Cinta (A la Excelencia)</t>
  </si>
  <si>
    <t>Cinta (LO Nivel 1)</t>
  </si>
  <si>
    <t>Cinta (LO Nivel 2)</t>
  </si>
  <si>
    <t>Cinta (LO Nivel 3)</t>
  </si>
  <si>
    <t>Cinta (LO Nivel 4)</t>
  </si>
  <si>
    <t>Cinta (Al Valor)</t>
  </si>
  <si>
    <t>Cinta (MOLH)</t>
  </si>
  <si>
    <t>Cinta (Merito Nacional)</t>
  </si>
  <si>
    <t>Cinta (Servicio Destacado Nacional)</t>
  </si>
  <si>
    <t>Gorra adiestramiento para parche intercambiable</t>
  </si>
  <si>
    <t>Libro Convirtiendose en un hombre de Dios- Douglas Marsh</t>
  </si>
  <si>
    <t>Carpeta de registro avance grupos (E)</t>
  </si>
  <si>
    <t>Carpeta de registro avance grupos (SS)</t>
  </si>
  <si>
    <t>Carpeta de registro avance grupos (P)</t>
  </si>
  <si>
    <t>Carpeta de registro avance grupos (N)</t>
  </si>
  <si>
    <t>Chaleco de premios (XL)</t>
  </si>
  <si>
    <t>Parches adiestramiento (OLI)</t>
  </si>
  <si>
    <t>Parches adiestramiento (ACD)</t>
  </si>
  <si>
    <t>Parches adiestramiento (CBD)</t>
  </si>
  <si>
    <t>Parches adiestramiento (F)</t>
  </si>
  <si>
    <t>Parches adiestramiento (M)</t>
  </si>
  <si>
    <t>Parches adiestramiento (CNM)</t>
  </si>
  <si>
    <t>Parches adiestramiento (DCM)</t>
  </si>
  <si>
    <t>Emblema para uniforme formal</t>
  </si>
  <si>
    <t>Corbata bolo de grupo (N)</t>
  </si>
  <si>
    <t>Corbata bolo de grupo (P)</t>
  </si>
  <si>
    <t>Corbata bolo de grupo (SS)</t>
  </si>
  <si>
    <t>Corbata bolo de grupo (E)</t>
  </si>
  <si>
    <t>Cordón para corbata bolo</t>
  </si>
  <si>
    <t>Calcomania emblema</t>
  </si>
  <si>
    <t>Insignia posicion local (Capellán)</t>
  </si>
  <si>
    <t>Insignia posicion local (Guia Mayor Aux.)</t>
  </si>
  <si>
    <t>Insignia posicion local (Guia Aux.)</t>
  </si>
  <si>
    <t>Insignia posicion local (Especialista en comunicaciones)</t>
  </si>
  <si>
    <t>Insignia posicion local (Supervisor de equipos)</t>
  </si>
  <si>
    <t>Insignia posicion local (Capellán aux.)</t>
  </si>
  <si>
    <t>Insignia posicion local (Miembro de patrulla)</t>
  </si>
  <si>
    <t>Parche Consejo Nacional</t>
  </si>
  <si>
    <t>Parche Consejo Ejecutivo</t>
  </si>
  <si>
    <t>Parche MOLH</t>
  </si>
  <si>
    <t>Parche Senda del Sable</t>
  </si>
  <si>
    <t>Distintivo Nivel Preparado (velcro)</t>
  </si>
  <si>
    <t>Distintivo Nivel Seguridad (velcro)</t>
  </si>
  <si>
    <t>Distintivo Nivel Adiestrado (velcro)</t>
  </si>
  <si>
    <t>Parche Nivel Avanzado (velcro)</t>
  </si>
  <si>
    <t>Distintivo Nivel Bronce (velcro)</t>
  </si>
  <si>
    <t>Distintivo Nivel Plata (velcro)</t>
  </si>
  <si>
    <t>Distintivo Nivel Oro (velcro)</t>
  </si>
  <si>
    <t>Parche Nivel Platino (velcro)</t>
  </si>
  <si>
    <t>Parche Senda Bronce Navegantes (con velcro)</t>
  </si>
  <si>
    <t>Parche Senda Plata Navegantes (con velcro)</t>
  </si>
  <si>
    <t>Parche Senda Oro Navegantes (con velcro)</t>
  </si>
  <si>
    <t>Parche Senda Bronce Pioneros (con velcro)</t>
  </si>
  <si>
    <t>Parche Senda Plata Pioneros (con velcro)</t>
  </si>
  <si>
    <t>Parche Senda Oro Pioneros (con velcro)</t>
  </si>
  <si>
    <t>Parche Senda Bronce Seguidores (con velcro)</t>
  </si>
  <si>
    <t>Parche Senda Plata Seguidores (con velcro)</t>
  </si>
  <si>
    <t>Parche Senda Oro Seguidores (con velcro)</t>
  </si>
  <si>
    <t>Parche Senda E1 (con velcro)</t>
  </si>
  <si>
    <t>Parche Senda E2 (con velcro)</t>
  </si>
  <si>
    <t>Parche Senda E3 (con velcro)</t>
  </si>
  <si>
    <t>Cinta (Coordinador de dest).</t>
  </si>
  <si>
    <t>Cinta (Lider grupo).</t>
  </si>
  <si>
    <t>Cinta (Servicio lider de dest).</t>
  </si>
  <si>
    <t>Cinta (Servicio especial).</t>
  </si>
  <si>
    <t>Cinta (servicio lider juvenil).</t>
  </si>
  <si>
    <t>Cinta (Taller practico).</t>
  </si>
  <si>
    <t>Cinta (Taller teorico).</t>
  </si>
  <si>
    <t>Cinta (al logro E).</t>
  </si>
  <si>
    <t>Cinta (Senda del sable).</t>
  </si>
  <si>
    <t>Cinta (al logro SS)</t>
  </si>
  <si>
    <t>Cinta (Naranja)</t>
  </si>
  <si>
    <t>Cinta (al logro N)</t>
  </si>
  <si>
    <t>Cinta (al logro P)</t>
  </si>
  <si>
    <t>Cinta (Azul)</t>
  </si>
  <si>
    <t>Cinta (Roja)</t>
  </si>
  <si>
    <t>Cinta (Café)</t>
  </si>
  <si>
    <t>Cinta (Verde)</t>
  </si>
  <si>
    <t>Cinta (Amarilla)</t>
  </si>
  <si>
    <t>Cinta (Plata)</t>
  </si>
  <si>
    <t>Cinta (Celeste)</t>
  </si>
  <si>
    <t>Cinta (Misiones).</t>
  </si>
  <si>
    <t>Cinta (Pastor).</t>
  </si>
  <si>
    <t>Insignia posicion organizacional (Ejecutivo)</t>
  </si>
  <si>
    <t>Insignia posicion organizacional (Regional)</t>
  </si>
  <si>
    <t>Insignia posicion organizacional (Seccional)</t>
  </si>
  <si>
    <t>Insignia posicion organizacional (Oficial especial)</t>
  </si>
  <si>
    <t>Parches adiestramiento (Seguridad)</t>
  </si>
  <si>
    <t>Parche Campamento de acción</t>
  </si>
  <si>
    <t>Parches Academia de Jefes</t>
  </si>
  <si>
    <t>Medalla de cuello (al logro N)</t>
  </si>
  <si>
    <t>Medalla de cuello (al logro P)</t>
  </si>
  <si>
    <t>Medalla de cuello (al logro SS)</t>
  </si>
  <si>
    <t>Medalla de cuello (al logro E).</t>
  </si>
  <si>
    <t>Medalla (Senda del sable).</t>
  </si>
  <si>
    <t>Medalla de cuello (MOLH)</t>
  </si>
  <si>
    <t>Medalla (MOLH)</t>
  </si>
  <si>
    <t>Medalla a la Valentia</t>
  </si>
  <si>
    <t>Medalla de Servicio al lider juvenil</t>
  </si>
  <si>
    <t>Medalla de Servicio destacado Nacional</t>
  </si>
  <si>
    <t>Medalla de Servicio especial</t>
  </si>
  <si>
    <t>Medalla de Servicio lider de dest</t>
  </si>
  <si>
    <t>Medalla al Lider grupo</t>
  </si>
  <si>
    <t>Medalla al Coordinador de dest.</t>
  </si>
  <si>
    <t>Medalla de proyecto de misiones</t>
  </si>
  <si>
    <t>Medalla de cuello (Senda del sable).</t>
  </si>
  <si>
    <t>Medalla (LO seccion)</t>
  </si>
  <si>
    <t>Medalla (LO region)</t>
  </si>
  <si>
    <t>Medalla (LO nacional)</t>
  </si>
  <si>
    <t>Medalla (LO ejecutivo)</t>
  </si>
  <si>
    <t>Parche Instructor Certificado</t>
  </si>
  <si>
    <t>Parche Instructor Calificado</t>
  </si>
  <si>
    <t>Parche Instructor Especializado</t>
  </si>
  <si>
    <t>Parche Instructor asistente</t>
  </si>
  <si>
    <t>No disponible</t>
  </si>
  <si>
    <t xml:space="preserve">Camiseta oficial ERRD (4) </t>
  </si>
  <si>
    <t xml:space="preserve">Camiseta oficial ERRD (6) </t>
  </si>
  <si>
    <t xml:space="preserve">Camiseta oficial ERRD (8) </t>
  </si>
  <si>
    <t xml:space="preserve">Camiseta oficial ERRD (10) </t>
  </si>
  <si>
    <t xml:space="preserve">Camiseta oficial ERRD (12) </t>
  </si>
  <si>
    <t xml:space="preserve">Camiseta oficial ERRD (14) </t>
  </si>
  <si>
    <t>Camiseta oficial ERRD (16/XS)</t>
  </si>
  <si>
    <t>Camiseta oficial ERRD (S)</t>
  </si>
  <si>
    <t>Camiseta oficial ERRD (M)</t>
  </si>
  <si>
    <t>Camiseta oficial ERRD (L)</t>
  </si>
  <si>
    <t>Camiseta oficial ERRD (XL)</t>
  </si>
  <si>
    <t>Carpeta de registro avance lideres</t>
  </si>
  <si>
    <t>Parche pvc con velcro para gorra ILJ</t>
  </si>
  <si>
    <t>Parche pvc con velcro para gorra CBD</t>
  </si>
  <si>
    <t>Parche pvc con velcro para gorra CNM</t>
  </si>
  <si>
    <t>Sombrero de instructor</t>
  </si>
  <si>
    <t xml:space="preserve">Emblema metal con velcro </t>
  </si>
  <si>
    <t>Bandera Exploradores del Rey (dimensiones ---)</t>
  </si>
  <si>
    <t>Bandera cristiana (dimensiones ---)</t>
  </si>
  <si>
    <t>Set de astas con su base (dimensiones ---)</t>
  </si>
  <si>
    <t>Chaleco de premios (10)</t>
  </si>
  <si>
    <t>Chaleco de premios (14)</t>
  </si>
  <si>
    <t>Chaleco de premios (16)</t>
  </si>
  <si>
    <t>Cantidad disponible</t>
  </si>
  <si>
    <t>Liderazgo [nivel 2] Nacional o Aguila dorada</t>
  </si>
  <si>
    <t>Liderazgo [nivel 3] Distrital o aguila/racimo plateado</t>
  </si>
  <si>
    <t>Liderazgo [nivel 4] Seccional o racimo dorado/azul</t>
  </si>
  <si>
    <t>Destacamentos Registrados 2026</t>
  </si>
  <si>
    <r>
      <rPr>
        <b/>
        <sz val="10"/>
        <color theme="3"/>
        <rFont val="Arial"/>
        <family val="2"/>
      </rPr>
      <t>RC</t>
    </r>
    <r>
      <rPr>
        <sz val="10"/>
        <rFont val="Arial"/>
        <family val="2"/>
      </rPr>
      <t xml:space="preserve"> * </t>
    </r>
    <r>
      <rPr>
        <b/>
        <sz val="10"/>
        <color rgb="FF00B050"/>
        <rFont val="Arial"/>
        <family val="2"/>
      </rPr>
      <t>RE</t>
    </r>
    <r>
      <rPr>
        <sz val="10"/>
        <rFont val="Arial"/>
        <family val="2"/>
      </rPr>
      <t xml:space="preserve"> * </t>
    </r>
    <r>
      <rPr>
        <b/>
        <sz val="10"/>
        <color rgb="FFFFC000"/>
        <rFont val="Arial"/>
        <family val="2"/>
      </rPr>
      <t>RN</t>
    </r>
    <r>
      <rPr>
        <sz val="10"/>
        <rFont val="Arial"/>
        <family val="2"/>
      </rPr>
      <t xml:space="preserve"> * </t>
    </r>
    <r>
      <rPr>
        <b/>
        <sz val="10"/>
        <color rgb="FFFF0000"/>
        <rFont val="Arial"/>
        <family val="2"/>
      </rPr>
      <t>RS</t>
    </r>
  </si>
  <si>
    <t>* Aun no se aplica en el pais para lideres juveniles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</si>
</sst>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1C0A]* #,##0.00_);_([$$-1C0A]* \(#,##0.00\);_([$$-1C0A]* &quot;-&quot;??_);_(@_)"/>
  </numFmts>
  <fonts count="47" x14ac:knownFonts="1">
    <font>
      <sz val="10"/>
      <name val="Arial"/>
    </font>
    <font>
      <sz val="10"/>
      <name val="Tahoma"/>
      <family val="2"/>
    </font>
    <font>
      <sz val="11"/>
      <name val="Tahoma"/>
      <family val="2"/>
    </font>
    <font>
      <b/>
      <sz val="26"/>
      <name val="Tahoma"/>
      <family val="2"/>
    </font>
    <font>
      <i/>
      <sz val="10"/>
      <name val="Tahoma"/>
      <family val="2"/>
    </font>
    <font>
      <b/>
      <i/>
      <sz val="9"/>
      <name val="Tahoma"/>
      <family val="2"/>
    </font>
    <font>
      <b/>
      <sz val="10"/>
      <color indexed="9"/>
      <name val="Tahoma"/>
      <family val="2"/>
    </font>
    <font>
      <b/>
      <sz val="7"/>
      <color indexed="9"/>
      <name val="Tahoma"/>
      <family val="2"/>
    </font>
    <font>
      <b/>
      <sz val="10"/>
      <name val="Tahoma"/>
      <family val="2"/>
    </font>
    <font>
      <sz val="10"/>
      <name val="Arial"/>
      <family val="2"/>
    </font>
    <font>
      <sz val="10"/>
      <name val="Arial"/>
      <family val="2"/>
    </font>
    <font>
      <sz val="10"/>
      <color theme="1"/>
      <name val="Tahoma"/>
      <family val="2"/>
    </font>
    <font>
      <b/>
      <sz val="10"/>
      <name val="Arial"/>
      <family val="2"/>
    </font>
    <font>
      <b/>
      <sz val="14"/>
      <name val="Arial"/>
      <family val="2"/>
    </font>
    <font>
      <b/>
      <sz val="11"/>
      <name val="Arial"/>
      <family val="2"/>
    </font>
    <font>
      <sz val="10"/>
      <name val="Wingdings"/>
      <charset val="2"/>
    </font>
    <font>
      <b/>
      <sz val="9"/>
      <color indexed="9"/>
      <name val="Tahoma"/>
      <family val="2"/>
    </font>
    <font>
      <b/>
      <sz val="8"/>
      <color indexed="9"/>
      <name val="Tahoma"/>
      <family val="2"/>
    </font>
    <font>
      <sz val="10"/>
      <name val="Bahnschrift SemiBold"/>
      <family val="2"/>
    </font>
    <font>
      <sz val="10"/>
      <color theme="1"/>
      <name val="Bahnschrift SemiBold"/>
      <family val="2"/>
    </font>
    <font>
      <u val="singleAccounting"/>
      <sz val="10"/>
      <name val="Bahnschrift SemiBold"/>
      <family val="2"/>
    </font>
    <font>
      <u val="singleAccounting"/>
      <sz val="10"/>
      <color theme="1"/>
      <name val="Bahnschrift SemiBold"/>
      <family val="2"/>
    </font>
    <font>
      <b/>
      <i/>
      <sz val="10"/>
      <color theme="0"/>
      <name val="Tahoma"/>
      <family val="2"/>
    </font>
    <font>
      <b/>
      <sz val="8"/>
      <color theme="4" tint="-0.499984740745262"/>
      <name val="Tahoma"/>
      <family val="2"/>
    </font>
    <font>
      <sz val="10"/>
      <name val="Bahnschrift SemiBold"/>
      <family val="2"/>
    </font>
    <font>
      <sz val="10"/>
      <name val="Calibri"/>
      <family val="2"/>
      <scheme val="minor"/>
    </font>
    <font>
      <b/>
      <sz val="10"/>
      <color theme="3" tint="-0.249977111117893"/>
      <name val="Arial Black"/>
      <family val="2"/>
    </font>
    <font>
      <b/>
      <i/>
      <sz val="8"/>
      <color theme="0"/>
      <name val="Tahoma"/>
      <family val="2"/>
    </font>
    <font>
      <b/>
      <sz val="9"/>
      <color theme="0"/>
      <name val="Tahoma"/>
      <family val="2"/>
    </font>
    <font>
      <sz val="11"/>
      <color theme="1"/>
      <name val="Arial"/>
      <family val="2"/>
    </font>
    <font>
      <b/>
      <sz val="12"/>
      <color indexed="9"/>
      <name val="Tahoma"/>
      <family val="2"/>
    </font>
    <font>
      <sz val="12"/>
      <name val="Bahnschrift SemiBold"/>
      <family val="2"/>
    </font>
    <font>
      <sz val="12"/>
      <name val="Arial"/>
      <family val="2"/>
    </font>
    <font>
      <sz val="12"/>
      <color theme="1"/>
      <name val="Bahnschrift SemiBold"/>
      <family val="2"/>
    </font>
    <font>
      <sz val="12"/>
      <color theme="1"/>
      <name val="Arial"/>
      <family val="2"/>
    </font>
    <font>
      <sz val="10"/>
      <color theme="0" tint="-0.34998626667073579"/>
      <name val="Arial"/>
      <family val="2"/>
    </font>
    <font>
      <sz val="10"/>
      <color rgb="FFFF0000"/>
      <name val="Arial"/>
      <family val="2"/>
    </font>
    <font>
      <sz val="8.5"/>
      <name val="Arial"/>
      <family val="2"/>
    </font>
    <font>
      <b/>
      <sz val="8"/>
      <color indexed="9"/>
      <name val="Tahoma"/>
    </font>
    <font>
      <sz val="18"/>
      <color theme="3"/>
      <name val="Arial"/>
      <family val="2"/>
    </font>
    <font>
      <sz val="18"/>
      <color rgb="FFFF0000"/>
      <name val="Arial"/>
      <family val="2"/>
    </font>
    <font>
      <sz val="18"/>
      <color rgb="FFFFC000"/>
      <name val="Arial"/>
      <family val="2"/>
    </font>
    <font>
      <sz val="18"/>
      <color rgb="FF00B050"/>
      <name val="Arial"/>
      <family val="2"/>
    </font>
    <font>
      <b/>
      <sz val="10"/>
      <color rgb="FF00B050"/>
      <name val="Arial"/>
      <family val="2"/>
    </font>
    <font>
      <b/>
      <sz val="10"/>
      <color rgb="FFFF0000"/>
      <name val="Arial"/>
      <family val="2"/>
    </font>
    <font>
      <b/>
      <sz val="10"/>
      <color rgb="FFFFC000"/>
      <name val="Arial"/>
      <family val="2"/>
    </font>
    <font>
      <b/>
      <sz val="10"/>
      <color theme="3"/>
      <name val="Arial"/>
      <family val="2"/>
    </font>
  </fonts>
  <fills count="16">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FFF66"/>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A79009"/>
        <bgColor indexed="64"/>
      </patternFill>
    </fill>
    <fill>
      <patternFill patternType="solid">
        <fgColor rgb="FFEAE7DA"/>
        <bgColor indexed="64"/>
      </patternFill>
    </fill>
  </fills>
  <borders count="28">
    <border>
      <left/>
      <right/>
      <top/>
      <bottom/>
      <diagonal/>
    </border>
    <border>
      <left/>
      <right style="thin">
        <color indexed="64"/>
      </right>
      <top/>
      <bottom style="thin">
        <color indexed="22"/>
      </bottom>
      <diagonal/>
    </border>
    <border>
      <left style="thin">
        <color indexed="23"/>
      </left>
      <right style="thin">
        <color indexed="23"/>
      </right>
      <top/>
      <bottom style="thin">
        <color indexed="22"/>
      </bottom>
      <diagonal/>
    </border>
    <border>
      <left style="thin">
        <color indexed="23"/>
      </left>
      <right/>
      <top/>
      <bottom style="thin">
        <color indexed="22"/>
      </bottom>
      <diagonal/>
    </border>
    <border>
      <left style="thin">
        <color indexed="23"/>
      </left>
      <right style="thin">
        <color indexed="64"/>
      </right>
      <top/>
      <bottom style="thin">
        <color indexed="22"/>
      </bottom>
      <diagonal/>
    </border>
    <border>
      <left/>
      <right/>
      <top/>
      <bottom style="thin">
        <color indexed="22"/>
      </bottom>
      <diagonal/>
    </border>
    <border>
      <left style="thin">
        <color indexed="64"/>
      </left>
      <right style="thin">
        <color indexed="64"/>
      </right>
      <top style="medium">
        <color indexed="64"/>
      </top>
      <bottom style="thin">
        <color indexed="22"/>
      </bottom>
      <diagonal/>
    </border>
    <border>
      <left style="thin">
        <color indexed="64"/>
      </left>
      <right style="thin">
        <color indexed="64"/>
      </right>
      <top/>
      <bottom style="thin">
        <color indexed="22"/>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22"/>
      </top>
      <bottom style="thin">
        <color indexed="2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theme="4" tint="0.39997558519241921"/>
      </top>
      <bottom style="thin">
        <color indexed="64"/>
      </bottom>
      <diagonal/>
    </border>
    <border>
      <left style="medium">
        <color indexed="64"/>
      </left>
      <right style="thin">
        <color indexed="64"/>
      </right>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theme="4" tint="0.39997558519241921"/>
      </top>
      <bottom style="thin">
        <color indexed="64"/>
      </bottom>
      <diagonal/>
    </border>
    <border>
      <left style="thin">
        <color indexed="64"/>
      </left>
      <right style="thin">
        <color indexed="64"/>
      </right>
      <top/>
      <bottom/>
      <diagonal/>
    </border>
  </borders>
  <cellStyleXfs count="2">
    <xf numFmtId="0" fontId="0" fillId="0" borderId="0"/>
    <xf numFmtId="44" fontId="10" fillId="0" borderId="0" applyFont="0" applyFill="0" applyBorder="0" applyAlignment="0" applyProtection="0"/>
  </cellStyleXfs>
  <cellXfs count="170">
    <xf numFmtId="0" fontId="0" fillId="0" borderId="0" xfId="0"/>
    <xf numFmtId="0" fontId="1" fillId="2" borderId="0" xfId="0" applyFont="1" applyFill="1"/>
    <xf numFmtId="0" fontId="2"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0" fontId="1" fillId="4" borderId="1" xfId="0" applyFont="1" applyFill="1" applyBorder="1"/>
    <xf numFmtId="0" fontId="1" fillId="4" borderId="2" xfId="0" applyFont="1" applyFill="1" applyBorder="1" applyAlignment="1">
      <alignment wrapText="1"/>
    </xf>
    <xf numFmtId="0" fontId="1" fillId="4" borderId="3" xfId="0" applyFont="1" applyFill="1" applyBorder="1" applyAlignment="1">
      <alignment wrapText="1"/>
    </xf>
    <xf numFmtId="0" fontId="1" fillId="2" borderId="1" xfId="0" applyFont="1" applyFill="1" applyBorder="1"/>
    <xf numFmtId="0" fontId="1" fillId="2" borderId="2" xfId="0" applyFont="1" applyFill="1" applyBorder="1" applyAlignment="1">
      <alignment wrapText="1"/>
    </xf>
    <xf numFmtId="0" fontId="1" fillId="2" borderId="3" xfId="0" applyFont="1" applyFill="1" applyBorder="1" applyAlignment="1">
      <alignment wrapText="1"/>
    </xf>
    <xf numFmtId="164" fontId="1" fillId="4" borderId="3" xfId="0" applyNumberFormat="1" applyFont="1" applyFill="1" applyBorder="1"/>
    <xf numFmtId="164" fontId="1" fillId="2" borderId="3" xfId="0" applyNumberFormat="1" applyFont="1" applyFill="1" applyBorder="1"/>
    <xf numFmtId="164" fontId="1" fillId="2" borderId="1" xfId="0" applyNumberFormat="1" applyFont="1" applyFill="1" applyBorder="1"/>
    <xf numFmtId="164" fontId="1" fillId="2" borderId="0" xfId="0" applyNumberFormat="1" applyFont="1" applyFill="1"/>
    <xf numFmtId="0" fontId="4" fillId="2" borderId="0" xfId="0" applyNumberFormat="1" applyFont="1" applyFill="1" applyAlignment="1">
      <alignment horizontal="center"/>
    </xf>
    <xf numFmtId="164" fontId="1" fillId="4" borderId="4" xfId="0" applyNumberFormat="1" applyFont="1" applyFill="1" applyBorder="1"/>
    <xf numFmtId="164" fontId="1" fillId="2" borderId="4" xfId="0" applyNumberFormat="1" applyFont="1" applyFill="1" applyBorder="1"/>
    <xf numFmtId="0" fontId="5" fillId="2" borderId="0" xfId="0" applyNumberFormat="1" applyFont="1" applyFill="1" applyAlignment="1">
      <alignment horizontal="right"/>
    </xf>
    <xf numFmtId="164" fontId="1" fillId="4" borderId="5" xfId="0" applyNumberFormat="1" applyFont="1" applyFill="1" applyBorder="1"/>
    <xf numFmtId="164" fontId="1" fillId="4" borderId="1" xfId="0" applyNumberFormat="1" applyFont="1" applyFill="1" applyBorder="1"/>
    <xf numFmtId="164" fontId="1" fillId="4" borderId="6" xfId="0" applyNumberFormat="1" applyFont="1" applyFill="1" applyBorder="1"/>
    <xf numFmtId="164" fontId="1" fillId="2" borderId="7" xfId="0" applyNumberFormat="1" applyFont="1" applyFill="1" applyBorder="1"/>
    <xf numFmtId="164" fontId="1" fillId="4" borderId="7" xfId="0" applyNumberFormat="1" applyFont="1" applyFill="1" applyBorder="1"/>
    <xf numFmtId="0" fontId="1" fillId="4" borderId="7" xfId="0" applyFont="1" applyFill="1" applyBorder="1" applyAlignment="1">
      <alignment wrapText="1"/>
    </xf>
    <xf numFmtId="0" fontId="1" fillId="2" borderId="7" xfId="0" applyFont="1" applyFill="1" applyBorder="1" applyAlignment="1">
      <alignment wrapText="1"/>
    </xf>
    <xf numFmtId="0" fontId="6" fillId="3" borderId="8"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7" fillId="3" borderId="9" xfId="0" applyNumberFormat="1" applyFont="1" applyFill="1" applyBorder="1" applyAlignment="1">
      <alignment horizontal="center" vertical="center" wrapText="1"/>
    </xf>
    <xf numFmtId="0" fontId="1" fillId="4" borderId="5" xfId="0" applyFont="1" applyFill="1" applyBorder="1"/>
    <xf numFmtId="0" fontId="1" fillId="4" borderId="11" xfId="0" applyFont="1" applyFill="1" applyBorder="1" applyAlignment="1">
      <alignment wrapText="1"/>
    </xf>
    <xf numFmtId="0" fontId="5" fillId="2" borderId="0" xfId="0" applyNumberFormat="1" applyFont="1" applyFill="1" applyAlignment="1">
      <alignment horizontal="center"/>
    </xf>
    <xf numFmtId="0" fontId="11" fillId="4" borderId="14" xfId="0" applyFont="1" applyFill="1" applyBorder="1" applyAlignment="1">
      <alignment wrapText="1"/>
    </xf>
    <xf numFmtId="0" fontId="11" fillId="2" borderId="14" xfId="0" applyFont="1" applyFill="1" applyBorder="1"/>
    <xf numFmtId="0" fontId="11" fillId="2" borderId="14" xfId="0" applyFont="1" applyFill="1" applyBorder="1" applyAlignment="1">
      <alignment wrapText="1"/>
    </xf>
    <xf numFmtId="0" fontId="11" fillId="4" borderId="15" xfId="0" applyFont="1" applyFill="1" applyBorder="1"/>
    <xf numFmtId="0" fontId="11" fillId="2" borderId="15" xfId="0" applyFont="1" applyFill="1" applyBorder="1"/>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11" fillId="2" borderId="18" xfId="0" applyFont="1" applyFill="1" applyBorder="1"/>
    <xf numFmtId="0" fontId="11" fillId="2" borderId="19" xfId="0" applyFont="1" applyFill="1" applyBorder="1"/>
    <xf numFmtId="0" fontId="9" fillId="0" borderId="0" xfId="0" applyFont="1"/>
    <xf numFmtId="0" fontId="14" fillId="0" borderId="0" xfId="0" applyFont="1"/>
    <xf numFmtId="44" fontId="11" fillId="4" borderId="14" xfId="1" applyFont="1" applyFill="1" applyBorder="1" applyAlignment="1">
      <alignment wrapText="1"/>
    </xf>
    <xf numFmtId="44" fontId="11" fillId="2" borderId="14" xfId="1" applyFont="1" applyFill="1" applyBorder="1" applyAlignment="1">
      <alignment wrapText="1"/>
    </xf>
    <xf numFmtId="44" fontId="11" fillId="2" borderId="14" xfId="1" applyFont="1" applyFill="1" applyBorder="1"/>
    <xf numFmtId="44" fontId="11" fillId="2" borderId="19" xfId="1" applyFont="1" applyFill="1" applyBorder="1"/>
    <xf numFmtId="0" fontId="9" fillId="6" borderId="0" xfId="0" applyFont="1" applyFill="1"/>
    <xf numFmtId="0" fontId="9" fillId="7" borderId="0" xfId="0" applyFont="1" applyFill="1"/>
    <xf numFmtId="0" fontId="12" fillId="7" borderId="0" xfId="0" applyFont="1" applyFill="1"/>
    <xf numFmtId="0" fontId="9" fillId="8" borderId="0" xfId="0" applyFont="1" applyFill="1"/>
    <xf numFmtId="0" fontId="15" fillId="0" borderId="0" xfId="0" applyFont="1" applyAlignment="1">
      <alignment horizontal="center"/>
    </xf>
    <xf numFmtId="0" fontId="16" fillId="3" borderId="10" xfId="0" applyNumberFormat="1" applyFont="1" applyFill="1" applyBorder="1" applyAlignment="1">
      <alignment horizontal="left" vertical="center" wrapText="1"/>
    </xf>
    <xf numFmtId="0" fontId="6" fillId="3" borderId="9" xfId="0" applyFont="1" applyFill="1" applyBorder="1" applyAlignment="1">
      <alignment horizontal="left" vertical="center" wrapText="1"/>
    </xf>
    <xf numFmtId="44" fontId="1" fillId="2" borderId="3" xfId="0" applyNumberFormat="1" applyFont="1" applyFill="1" applyBorder="1" applyAlignment="1">
      <alignment wrapText="1"/>
    </xf>
    <xf numFmtId="44" fontId="1" fillId="4" borderId="3" xfId="0" applyNumberFormat="1" applyFont="1" applyFill="1" applyBorder="1" applyAlignment="1">
      <alignment wrapText="1"/>
    </xf>
    <xf numFmtId="0" fontId="8" fillId="2" borderId="0" xfId="0" applyFont="1" applyFill="1" applyAlignment="1">
      <alignment horizontal="left" vertical="center"/>
    </xf>
    <xf numFmtId="164" fontId="18" fillId="0" borderId="17" xfId="0" applyNumberFormat="1" applyFont="1" applyFill="1" applyBorder="1" applyAlignment="1"/>
    <xf numFmtId="164" fontId="18" fillId="0" borderId="14" xfId="0" applyNumberFormat="1" applyFont="1" applyFill="1" applyBorder="1" applyAlignment="1"/>
    <xf numFmtId="44" fontId="18" fillId="0" borderId="14" xfId="0" applyNumberFormat="1" applyFont="1" applyFill="1" applyBorder="1" applyAlignment="1"/>
    <xf numFmtId="164" fontId="18" fillId="0" borderId="17" xfId="0" applyNumberFormat="1" applyFont="1" applyFill="1" applyBorder="1" applyAlignment="1">
      <alignment horizontal="center"/>
    </xf>
    <xf numFmtId="164" fontId="19" fillId="10" borderId="20" xfId="0" applyNumberFormat="1" applyFont="1" applyFill="1" applyBorder="1" applyAlignment="1">
      <alignment horizontal="center"/>
    </xf>
    <xf numFmtId="0" fontId="17" fillId="3" borderId="13" xfId="0" applyNumberFormat="1" applyFont="1" applyFill="1" applyBorder="1" applyAlignment="1">
      <alignment horizontal="center" vertical="center" wrapText="1"/>
    </xf>
    <xf numFmtId="0" fontId="6" fillId="3" borderId="21" xfId="0" applyFont="1" applyFill="1" applyBorder="1" applyAlignment="1">
      <alignment horizontal="left" vertical="center" wrapText="1"/>
    </xf>
    <xf numFmtId="44" fontId="18" fillId="0" borderId="14" xfId="0" applyNumberFormat="1" applyFont="1" applyFill="1" applyBorder="1" applyAlignment="1">
      <alignment wrapText="1"/>
    </xf>
    <xf numFmtId="44" fontId="18" fillId="0" borderId="14" xfId="0" applyNumberFormat="1" applyFont="1" applyFill="1" applyBorder="1" applyAlignment="1">
      <alignment vertical="center"/>
    </xf>
    <xf numFmtId="164" fontId="18" fillId="0" borderId="17" xfId="0" applyNumberFormat="1" applyFont="1" applyFill="1" applyBorder="1" applyAlignment="1">
      <alignment horizontal="center" vertical="center"/>
    </xf>
    <xf numFmtId="164" fontId="18" fillId="0" borderId="17" xfId="0" applyNumberFormat="1" applyFont="1" applyFill="1" applyBorder="1" applyAlignment="1">
      <alignment wrapText="1"/>
    </xf>
    <xf numFmtId="0" fontId="22" fillId="9" borderId="12" xfId="0" applyFont="1" applyFill="1" applyBorder="1" applyAlignment="1">
      <alignment horizontal="center" vertical="center" wrapText="1"/>
    </xf>
    <xf numFmtId="164" fontId="18" fillId="0" borderId="14" xfId="0" applyNumberFormat="1" applyFont="1" applyFill="1" applyBorder="1" applyAlignment="1">
      <alignment horizontal="center"/>
    </xf>
    <xf numFmtId="164" fontId="18" fillId="0" borderId="14" xfId="0" applyNumberFormat="1" applyFont="1" applyFill="1" applyBorder="1" applyAlignment="1">
      <alignment horizontal="center" vertical="center"/>
    </xf>
    <xf numFmtId="44" fontId="18" fillId="0" borderId="14" xfId="0" applyNumberFormat="1" applyFont="1" applyFill="1" applyBorder="1" applyAlignment="1">
      <alignment horizontal="center" vertical="center"/>
    </xf>
    <xf numFmtId="44" fontId="18" fillId="0" borderId="14" xfId="0" applyNumberFormat="1" applyFont="1" applyFill="1" applyBorder="1" applyAlignment="1">
      <alignment horizontal="center" vertical="center" wrapText="1"/>
    </xf>
    <xf numFmtId="44" fontId="18" fillId="0" borderId="14" xfId="0" applyNumberFormat="1" applyFont="1" applyFill="1" applyBorder="1" applyAlignment="1">
      <alignment vertical="center" wrapText="1"/>
    </xf>
    <xf numFmtId="164" fontId="19" fillId="0" borderId="20" xfId="0" applyNumberFormat="1" applyFont="1" applyBorder="1" applyAlignment="1">
      <alignment horizontal="center"/>
    </xf>
    <xf numFmtId="164" fontId="19" fillId="0" borderId="20" xfId="0" applyNumberFormat="1" applyFont="1" applyBorder="1" applyAlignment="1"/>
    <xf numFmtId="164" fontId="19" fillId="10" borderId="20" xfId="0" applyNumberFormat="1" applyFont="1" applyFill="1" applyBorder="1" applyAlignment="1"/>
    <xf numFmtId="44" fontId="19" fillId="10" borderId="14" xfId="0" applyNumberFormat="1" applyFont="1" applyFill="1" applyBorder="1" applyAlignment="1">
      <alignment vertical="center"/>
    </xf>
    <xf numFmtId="44" fontId="19" fillId="0" borderId="14" xfId="0" applyNumberFormat="1" applyFont="1" applyBorder="1" applyAlignment="1">
      <alignment vertical="center"/>
    </xf>
    <xf numFmtId="44" fontId="18" fillId="0" borderId="14" xfId="0" applyNumberFormat="1" applyFont="1" applyFill="1" applyBorder="1" applyAlignment="1">
      <alignment horizontal="right" vertical="center"/>
    </xf>
    <xf numFmtId="44" fontId="20" fillId="11" borderId="14" xfId="0" applyNumberFormat="1" applyFont="1" applyFill="1" applyBorder="1" applyAlignment="1">
      <alignment vertical="center"/>
    </xf>
    <xf numFmtId="44" fontId="20" fillId="0" borderId="14" xfId="0" applyNumberFormat="1" applyFont="1" applyFill="1" applyBorder="1" applyAlignment="1">
      <alignment vertical="center"/>
    </xf>
    <xf numFmtId="44" fontId="24" fillId="0" borderId="14" xfId="0" applyNumberFormat="1" applyFont="1" applyFill="1" applyBorder="1" applyAlignment="1">
      <alignment vertical="center"/>
    </xf>
    <xf numFmtId="44" fontId="18" fillId="0" borderId="19" xfId="0" applyNumberFormat="1" applyFont="1" applyFill="1" applyBorder="1" applyAlignment="1">
      <alignment vertical="center"/>
    </xf>
    <xf numFmtId="44" fontId="20" fillId="0" borderId="19" xfId="0" applyNumberFormat="1" applyFont="1" applyFill="1" applyBorder="1" applyAlignment="1">
      <alignment vertical="center"/>
    </xf>
    <xf numFmtId="44" fontId="21" fillId="11" borderId="14" xfId="0" applyNumberFormat="1" applyFont="1" applyFill="1" applyBorder="1" applyAlignment="1">
      <alignment vertical="center"/>
    </xf>
    <xf numFmtId="164" fontId="18" fillId="0" borderId="17" xfId="0" applyNumberFormat="1" applyFont="1" applyFill="1" applyBorder="1" applyAlignment="1">
      <alignment horizontal="left" wrapText="1"/>
    </xf>
    <xf numFmtId="0" fontId="24" fillId="0" borderId="14" xfId="0" applyNumberFormat="1" applyFont="1" applyFill="1" applyBorder="1" applyAlignment="1">
      <alignment vertical="center"/>
    </xf>
    <xf numFmtId="44" fontId="18" fillId="0" borderId="14" xfId="0" applyNumberFormat="1" applyFont="1" applyFill="1" applyBorder="1" applyAlignment="1">
      <alignment horizontal="left" vertical="center"/>
    </xf>
    <xf numFmtId="0" fontId="1" fillId="2" borderId="14" xfId="0" applyFont="1" applyFill="1" applyBorder="1"/>
    <xf numFmtId="0" fontId="9" fillId="0" borderId="14" xfId="0" applyFont="1" applyBorder="1"/>
    <xf numFmtId="0" fontId="9" fillId="0" borderId="14" xfId="0" applyFont="1" applyFill="1" applyBorder="1"/>
    <xf numFmtId="44" fontId="18" fillId="12" borderId="14" xfId="0" applyNumberFormat="1" applyFont="1" applyFill="1" applyBorder="1" applyAlignment="1"/>
    <xf numFmtId="164" fontId="25" fillId="0" borderId="17" xfId="0" applyNumberFormat="1" applyFont="1" applyFill="1" applyBorder="1" applyAlignment="1">
      <alignment horizontal="center"/>
    </xf>
    <xf numFmtId="0" fontId="2" fillId="5" borderId="12" xfId="0" applyFont="1" applyFill="1" applyBorder="1" applyAlignment="1">
      <alignment horizontal="center" vertical="center"/>
    </xf>
    <xf numFmtId="164" fontId="18" fillId="11" borderId="17" xfId="0" applyNumberFormat="1" applyFont="1" applyFill="1" applyBorder="1" applyAlignment="1"/>
    <xf numFmtId="164" fontId="18" fillId="11" borderId="14" xfId="0" applyNumberFormat="1" applyFont="1" applyFill="1" applyBorder="1" applyAlignment="1"/>
    <xf numFmtId="44" fontId="18" fillId="2" borderId="14" xfId="0" applyNumberFormat="1" applyFont="1" applyFill="1" applyBorder="1"/>
    <xf numFmtId="44" fontId="18" fillId="5" borderId="14" xfId="0" applyNumberFormat="1" applyFont="1" applyFill="1" applyBorder="1" applyAlignment="1"/>
    <xf numFmtId="164" fontId="18" fillId="5" borderId="17" xfId="0" applyNumberFormat="1" applyFont="1" applyFill="1" applyBorder="1" applyAlignment="1"/>
    <xf numFmtId="164" fontId="18" fillId="5" borderId="14" xfId="0" applyNumberFormat="1" applyFont="1" applyFill="1" applyBorder="1" applyAlignment="1"/>
    <xf numFmtId="164" fontId="18" fillId="15" borderId="17" xfId="0" applyNumberFormat="1" applyFont="1" applyFill="1" applyBorder="1" applyAlignment="1"/>
    <xf numFmtId="164" fontId="18" fillId="15" borderId="14" xfId="0" applyNumberFormat="1" applyFont="1" applyFill="1" applyBorder="1" applyAlignment="1"/>
    <xf numFmtId="44" fontId="18" fillId="15" borderId="14" xfId="0" applyNumberFormat="1" applyFont="1" applyFill="1" applyBorder="1" applyAlignment="1"/>
    <xf numFmtId="44" fontId="18" fillId="15" borderId="14" xfId="0" applyNumberFormat="1" applyFont="1" applyFill="1" applyBorder="1" applyAlignment="1">
      <alignment vertical="center"/>
    </xf>
    <xf numFmtId="44" fontId="18" fillId="15" borderId="19" xfId="0" applyNumberFormat="1" applyFont="1" applyFill="1" applyBorder="1" applyAlignment="1"/>
    <xf numFmtId="164" fontId="25" fillId="0" borderId="17" xfId="0" applyNumberFormat="1" applyFont="1" applyFill="1" applyBorder="1" applyAlignment="1">
      <alignment horizontal="center" vertical="top"/>
    </xf>
    <xf numFmtId="0" fontId="1" fillId="2" borderId="14" xfId="0" applyFont="1" applyFill="1" applyBorder="1" applyAlignment="1">
      <alignment wrapText="1"/>
    </xf>
    <xf numFmtId="44" fontId="18" fillId="5" borderId="14" xfId="0" applyNumberFormat="1" applyFont="1" applyFill="1" applyBorder="1" applyAlignment="1">
      <alignment vertical="center"/>
    </xf>
    <xf numFmtId="0" fontId="30" fillId="3" borderId="25" xfId="0" applyNumberFormat="1" applyFont="1" applyFill="1" applyBorder="1" applyAlignment="1">
      <alignment horizontal="left" vertical="center" wrapText="1"/>
    </xf>
    <xf numFmtId="0" fontId="30" fillId="3" borderId="21" xfId="0" applyFont="1" applyFill="1" applyBorder="1" applyAlignment="1">
      <alignment horizontal="left" vertical="center" wrapText="1"/>
    </xf>
    <xf numFmtId="0" fontId="30" fillId="3" borderId="22" xfId="0" applyFont="1" applyFill="1" applyBorder="1" applyAlignment="1">
      <alignment horizontal="left" vertical="center" wrapText="1"/>
    </xf>
    <xf numFmtId="164" fontId="31" fillId="0" borderId="16" xfId="0" applyNumberFormat="1" applyFont="1" applyFill="1" applyBorder="1" applyAlignment="1">
      <alignment horizontal="left"/>
    </xf>
    <xf numFmtId="0" fontId="32" fillId="0" borderId="23" xfId="0" applyFont="1" applyBorder="1"/>
    <xf numFmtId="164" fontId="31" fillId="0" borderId="15" xfId="0" applyNumberFormat="1" applyFont="1" applyFill="1" applyBorder="1" applyAlignment="1">
      <alignment horizontal="left"/>
    </xf>
    <xf numFmtId="164" fontId="31" fillId="0" borderId="15" xfId="0" applyNumberFormat="1" applyFont="1" applyFill="1" applyBorder="1" applyAlignment="1">
      <alignment horizontal="center" vertical="center"/>
    </xf>
    <xf numFmtId="44" fontId="31" fillId="0" borderId="15" xfId="0" applyNumberFormat="1" applyFont="1" applyFill="1" applyBorder="1" applyAlignment="1">
      <alignment horizontal="center" vertical="center" wrapText="1"/>
    </xf>
    <xf numFmtId="164" fontId="31" fillId="0" borderId="16" xfId="0" applyNumberFormat="1" applyFont="1" applyFill="1" applyBorder="1" applyAlignment="1">
      <alignment horizontal="center" vertical="center"/>
    </xf>
    <xf numFmtId="44" fontId="31" fillId="0" borderId="15" xfId="0" applyNumberFormat="1" applyFont="1" applyFill="1" applyBorder="1" applyAlignment="1">
      <alignment horizontal="center" vertical="center"/>
    </xf>
    <xf numFmtId="164" fontId="31" fillId="0" borderId="16" xfId="0" applyNumberFormat="1" applyFont="1" applyFill="1" applyBorder="1" applyAlignment="1">
      <alignment horizontal="center"/>
    </xf>
    <xf numFmtId="44" fontId="31" fillId="0" borderId="15" xfId="0" applyNumberFormat="1" applyFont="1" applyFill="1" applyBorder="1" applyAlignment="1">
      <alignment horizontal="left" vertical="center" wrapText="1"/>
    </xf>
    <xf numFmtId="164" fontId="33" fillId="0" borderId="26" xfId="0" applyNumberFormat="1" applyFont="1" applyBorder="1" applyAlignment="1">
      <alignment horizontal="left"/>
    </xf>
    <xf numFmtId="164" fontId="31" fillId="0" borderId="16" xfId="0" applyNumberFormat="1" applyFont="1" applyFill="1" applyBorder="1" applyAlignment="1">
      <alignment horizontal="left" vertical="center"/>
    </xf>
    <xf numFmtId="164" fontId="33" fillId="0" borderId="26" xfId="0" applyNumberFormat="1" applyFont="1" applyBorder="1" applyAlignment="1"/>
    <xf numFmtId="164" fontId="33" fillId="0" borderId="15" xfId="0" applyNumberFormat="1" applyFont="1" applyFill="1" applyBorder="1" applyAlignment="1"/>
    <xf numFmtId="0" fontId="32" fillId="0" borderId="24" xfId="0" applyFont="1" applyBorder="1"/>
    <xf numFmtId="164" fontId="33" fillId="0" borderId="18" xfId="0" applyNumberFormat="1" applyFont="1" applyFill="1" applyBorder="1" applyAlignment="1">
      <alignment vertical="center"/>
    </xf>
    <xf numFmtId="164" fontId="32" fillId="0" borderId="17" xfId="0" applyNumberFormat="1" applyFont="1" applyFill="1" applyBorder="1" applyAlignment="1"/>
    <xf numFmtId="44" fontId="32" fillId="0" borderId="14" xfId="0" applyNumberFormat="1" applyFont="1" applyFill="1" applyBorder="1" applyAlignment="1">
      <alignment vertical="center" wrapText="1"/>
    </xf>
    <xf numFmtId="44" fontId="32" fillId="0" borderId="14" xfId="0" applyNumberFormat="1" applyFont="1" applyFill="1" applyBorder="1" applyAlignment="1">
      <alignment wrapText="1"/>
    </xf>
    <xf numFmtId="44" fontId="32" fillId="0" borderId="17" xfId="0" applyNumberFormat="1" applyFont="1" applyFill="1" applyBorder="1" applyAlignment="1">
      <alignment wrapText="1"/>
    </xf>
    <xf numFmtId="164" fontId="32" fillId="0" borderId="17" xfId="0" applyNumberFormat="1" applyFont="1" applyFill="1" applyBorder="1" applyAlignment="1">
      <alignment horizontal="left" wrapText="1"/>
    </xf>
    <xf numFmtId="164" fontId="32" fillId="0" borderId="17" xfId="0" applyNumberFormat="1" applyFont="1" applyFill="1" applyBorder="1" applyAlignment="1">
      <alignment wrapText="1"/>
    </xf>
    <xf numFmtId="164" fontId="34" fillId="0" borderId="20" xfId="0" applyNumberFormat="1" applyFont="1" applyBorder="1" applyAlignment="1"/>
    <xf numFmtId="164" fontId="34" fillId="0" borderId="14" xfId="0" applyNumberFormat="1" applyFont="1" applyFill="1" applyBorder="1" applyAlignment="1"/>
    <xf numFmtId="164" fontId="29" fillId="0" borderId="19" xfId="0" applyNumberFormat="1" applyFont="1" applyFill="1" applyBorder="1" applyAlignment="1">
      <alignment horizontal="left" wrapText="1"/>
    </xf>
    <xf numFmtId="164" fontId="25" fillId="0" borderId="19" xfId="0" applyNumberFormat="1" applyFont="1" applyFill="1" applyBorder="1" applyAlignment="1">
      <alignment horizontal="center"/>
    </xf>
    <xf numFmtId="0" fontId="9" fillId="0" borderId="19" xfId="0" applyFont="1" applyFill="1" applyBorder="1"/>
    <xf numFmtId="44" fontId="18" fillId="5" borderId="19" xfId="0" applyNumberFormat="1" applyFont="1" applyFill="1" applyBorder="1" applyAlignment="1"/>
    <xf numFmtId="164" fontId="25" fillId="0" borderId="14" xfId="0" applyNumberFormat="1" applyFont="1" applyFill="1" applyBorder="1" applyAlignment="1">
      <alignment horizontal="center"/>
    </xf>
    <xf numFmtId="164" fontId="25" fillId="0" borderId="17" xfId="0" applyNumberFormat="1" applyFont="1" applyFill="1" applyBorder="1" applyAlignment="1">
      <alignment horizontal="center" vertical="center"/>
    </xf>
    <xf numFmtId="0" fontId="35" fillId="0" borderId="19" xfId="0" applyFont="1" applyFill="1" applyBorder="1"/>
    <xf numFmtId="0" fontId="0" fillId="0" borderId="0" xfId="0" applyAlignment="1">
      <alignment horizontal="center"/>
    </xf>
    <xf numFmtId="0" fontId="36" fillId="0" borderId="0" xfId="0" applyFont="1"/>
    <xf numFmtId="0" fontId="9" fillId="0" borderId="14" xfId="0" applyFont="1" applyFill="1" applyBorder="1" applyAlignment="1">
      <alignment wrapText="1"/>
    </xf>
    <xf numFmtId="164" fontId="25" fillId="0" borderId="27" xfId="0" applyNumberFormat="1" applyFont="1" applyFill="1" applyBorder="1" applyAlignment="1">
      <alignment horizontal="center"/>
    </xf>
    <xf numFmtId="0" fontId="1" fillId="2" borderId="14" xfId="0" applyFont="1" applyFill="1" applyBorder="1" applyAlignment="1">
      <alignment vertical="top"/>
    </xf>
    <xf numFmtId="0" fontId="9" fillId="0" borderId="0" xfId="0" applyFont="1" applyAlignment="1">
      <alignment vertical="center"/>
    </xf>
    <xf numFmtId="0" fontId="9" fillId="0" borderId="0" xfId="0" applyFont="1" applyBorder="1"/>
    <xf numFmtId="0" fontId="37" fillId="0" borderId="14" xfId="0" applyFont="1" applyFill="1" applyBorder="1" applyAlignment="1">
      <alignment wrapText="1"/>
    </xf>
    <xf numFmtId="0" fontId="1" fillId="2" borderId="0" xfId="0" applyFont="1" applyFill="1" applyAlignment="1">
      <alignment horizontal="center" vertical="center" wrapText="1"/>
    </xf>
    <xf numFmtId="0" fontId="3" fillId="2" borderId="0" xfId="0" applyFont="1" applyFill="1" applyAlignment="1">
      <alignment horizontal="center"/>
    </xf>
    <xf numFmtId="0" fontId="4" fillId="2" borderId="0" xfId="0" applyFont="1" applyFill="1" applyAlignment="1">
      <alignment horizontal="center" vertical="center"/>
    </xf>
    <xf numFmtId="0" fontId="13" fillId="0" borderId="0" xfId="0" applyFont="1" applyAlignment="1">
      <alignment horizontal="center"/>
    </xf>
    <xf numFmtId="0" fontId="13" fillId="0" borderId="0" xfId="0" applyFont="1" applyAlignment="1">
      <alignment horizontal="center" vertical="center"/>
    </xf>
    <xf numFmtId="0" fontId="28" fillId="14" borderId="0" xfId="0" applyFont="1" applyFill="1" applyBorder="1" applyAlignment="1">
      <alignment horizontal="center" vertical="center" wrapText="1"/>
    </xf>
    <xf numFmtId="0" fontId="27" fillId="13" borderId="0" xfId="0" applyFont="1" applyFill="1" applyBorder="1" applyAlignment="1">
      <alignment horizontal="center" vertical="center" wrapText="1"/>
    </xf>
    <xf numFmtId="0" fontId="26" fillId="2" borderId="0" xfId="0" applyFont="1" applyFill="1" applyAlignment="1">
      <alignment horizontal="left" vertical="center" wrapText="1"/>
    </xf>
    <xf numFmtId="0" fontId="8" fillId="2" borderId="0" xfId="0" applyFont="1" applyFill="1" applyAlignment="1">
      <alignment horizontal="left" vertical="center" wrapText="1"/>
    </xf>
    <xf numFmtId="0" fontId="12" fillId="0" borderId="0" xfId="0" applyFont="1" applyAlignment="1">
      <alignment horizontal="center"/>
    </xf>
    <xf numFmtId="0" fontId="38" fillId="3" borderId="13" xfId="0" applyNumberFormat="1" applyFont="1" applyFill="1" applyBorder="1" applyAlignment="1">
      <alignment horizontal="center" vertical="center" wrapText="1"/>
    </xf>
    <xf numFmtId="0" fontId="39" fillId="0" borderId="0" xfId="0" applyFont="1" applyAlignment="1">
      <alignment horizontal="center"/>
    </xf>
    <xf numFmtId="0" fontId="39"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0" fontId="42" fillId="0" borderId="0" xfId="0" applyFont="1" applyAlignment="1">
      <alignment horizontal="center"/>
    </xf>
    <xf numFmtId="0" fontId="9" fillId="0" borderId="0" xfId="0" applyFont="1" applyAlignment="1">
      <alignment horizontal="center"/>
    </xf>
    <xf numFmtId="164" fontId="18" fillId="15" borderId="14" xfId="0" applyNumberFormat="1" applyFont="1" applyFill="1" applyBorder="1" applyAlignment="1">
      <alignment vertical="center"/>
    </xf>
    <xf numFmtId="164" fontId="18" fillId="5" borderId="14" xfId="0" applyNumberFormat="1" applyFont="1" applyFill="1" applyBorder="1" applyAlignment="1">
      <alignment vertical="center"/>
    </xf>
  </cellXfs>
  <cellStyles count="2">
    <cellStyle name="Moneda" xfId="1" builtinId="4"/>
    <cellStyle name="Normal" xfId="0" builtinId="0"/>
  </cellStyles>
  <dxfs count="37">
    <dxf>
      <font>
        <b val="0"/>
        <i val="0"/>
        <strike val="0"/>
        <condense val="0"/>
        <extend val="0"/>
        <outline val="0"/>
        <shadow val="0"/>
        <u val="none"/>
        <vertAlign val="baseline"/>
        <sz val="10"/>
        <color auto="1"/>
        <name val="Bahnschrift SemiBold"/>
        <scheme val="none"/>
      </font>
      <numFmt numFmtId="34" formatCode="_(&quot;$&quot;* #,##0.00_);_(&quot;$&quot;* \(#,##0.00\);_(&quot;$&quot;* &quot;-&quot;??_);_(@_)"/>
      <fill>
        <patternFill patternType="solid">
          <fgColor indexed="64"/>
          <bgColor theme="5"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Bahnschrift SemiBold"/>
        <scheme val="none"/>
      </font>
      <numFmt numFmtId="34" formatCode="_(&quot;$&quot;* #,##0.00_);_(&quot;$&quot;* \(#,##0.00\);_(&quot;$&quot;* &quot;-&quot;??_);_(@_)"/>
      <fill>
        <patternFill patternType="solid">
          <fgColor indexed="64"/>
          <bgColor rgb="FFEAE7DA"/>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scheme val="minor"/>
      </font>
      <numFmt numFmtId="164" formatCode="_([$$-1C0A]* #,##0.00_);_([$$-1C0A]* \(#,##0.00\);_([$$-1C0A]*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dxf>
    <dxf>
      <border outline="0">
        <bottom style="thin">
          <color indexed="64"/>
        </bottom>
      </border>
    </dxf>
    <dxf>
      <border outline="0">
        <bottom style="medium">
          <color indexed="64"/>
        </bottom>
      </border>
    </dxf>
    <dxf>
      <font>
        <b/>
        <i val="0"/>
        <strike val="0"/>
        <condense val="0"/>
        <extend val="0"/>
        <outline val="0"/>
        <shadow val="0"/>
        <u val="none"/>
        <vertAlign val="baseline"/>
        <sz val="8"/>
        <color indexed="9"/>
        <name val="Tahoma"/>
        <scheme val="none"/>
      </font>
      <numFmt numFmtId="0" formatCode="General"/>
      <fill>
        <patternFill patternType="solid">
          <fgColor indexed="64"/>
          <bgColor indexed="18"/>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Tahoma"/>
        <scheme val="none"/>
      </font>
      <fill>
        <patternFill patternType="solid">
          <fgColor indexed="64"/>
          <bgColor indexed="9"/>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scheme val="none"/>
      </font>
      <fill>
        <patternFill patternType="solid">
          <fgColor indexed="64"/>
          <bgColor indexed="9"/>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ahoma"/>
        <scheme val="none"/>
      </font>
      <fill>
        <patternFill patternType="solid">
          <fgColor indexed="64"/>
          <bgColor indexed="9"/>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ahoma"/>
        <scheme val="none"/>
      </font>
      <fill>
        <patternFill patternType="solid">
          <fgColor indexed="64"/>
          <bgColor indexed="9"/>
        </patternFill>
      </fill>
    </dxf>
    <dxf>
      <border outline="0">
        <bottom style="thin">
          <color indexed="64"/>
        </bottom>
      </border>
    </dxf>
    <dxf>
      <font>
        <b/>
        <i val="0"/>
        <strike val="0"/>
        <condense val="0"/>
        <extend val="0"/>
        <outline val="0"/>
        <shadow val="0"/>
        <u val="none"/>
        <vertAlign val="baseline"/>
        <sz val="10"/>
        <color indexed="9"/>
        <name val="Tahoma"/>
        <scheme val="none"/>
      </font>
      <fill>
        <patternFill patternType="solid">
          <fgColor indexed="64"/>
          <bgColor indexed="18"/>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164" formatCode="_([$$-1C0A]* #,##0.00_);_([$$-1C0A]* \(#,##0.00\);_([$$-1C0A]* &quot;-&quot;??_);_(@_)"/>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ahnschrift SemiBold"/>
        <scheme val="none"/>
      </font>
      <numFmt numFmtId="164" formatCode="_([$$-1C0A]* #,##0.00_);_([$$-1C0A]* \(#,##0.00\);_([$$-1C0A]* &quot;-&quot;??_);_(@_)"/>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medium">
          <color indexed="64"/>
        </left>
        <right style="thin">
          <color indexed="64"/>
        </right>
        <top/>
        <bottom style="thin">
          <color indexed="64"/>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0"/>
        <color auto="1"/>
        <name val="Bahnschrift SemiBold"/>
        <scheme val="none"/>
      </font>
      <numFmt numFmtId="34" formatCode="_(&quot;$&quot;* #,##0.00_);_(&quot;$&quot;* \(#,##0.00\);_(&quot;$&quot;* &quot;-&quot;??_);_(@_)"/>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Bahnschrift SemiBold"/>
        <scheme val="none"/>
      </font>
      <numFmt numFmtId="34" formatCode="_(&quot;$&quot;* #,##0.00_);_(&quot;$&quot;* \(#,##0.00\);_(&quot;$&quot;* &quot;-&quot;??_);_(@_)"/>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ahoma"/>
        <scheme val="none"/>
      </font>
      <fill>
        <patternFill patternType="solid">
          <fgColor indexed="64"/>
          <bgColor indexed="9"/>
        </patternFill>
      </fill>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ahoma"/>
        <scheme val="none"/>
      </font>
      <fill>
        <patternFill patternType="solid">
          <fgColor indexed="64"/>
          <bgColor indexed="9"/>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font>
        <b/>
        <i val="0"/>
        <strike val="0"/>
        <condense val="0"/>
        <extend val="0"/>
        <outline val="0"/>
        <shadow val="0"/>
        <u val="none"/>
        <vertAlign val="baseline"/>
        <sz val="8"/>
        <color indexed="9"/>
        <name val="Tahoma"/>
        <scheme val="none"/>
      </font>
      <numFmt numFmtId="0" formatCode="General"/>
      <fill>
        <patternFill patternType="solid">
          <fgColor indexed="64"/>
          <bgColor indexed="18"/>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auto="1"/>
        <name val="Tahoma"/>
        <scheme val="none"/>
      </font>
      <numFmt numFmtId="164" formatCode="_([$$-1C0A]* #,##0.00_);_([$$-1C0A]* \(#,##0.00\);_([$$-1C0A]* &quot;-&quot;??_);_(@_)"/>
      <fill>
        <patternFill patternType="solid">
          <fgColor indexed="64"/>
          <bgColor indexed="9"/>
        </patternFill>
      </fill>
    </dxf>
    <dxf>
      <font>
        <b val="0"/>
        <i val="0"/>
        <strike val="0"/>
        <condense val="0"/>
        <extend val="0"/>
        <outline val="0"/>
        <shadow val="0"/>
        <u val="none"/>
        <vertAlign val="baseline"/>
        <sz val="10"/>
        <color auto="1"/>
        <name val="Tahoma"/>
        <scheme val="none"/>
      </font>
      <numFmt numFmtId="164" formatCode="_([$$-1C0A]* #,##0.00_);_([$$-1C0A]* \(#,##0.00\);_([$$-1C0A]* &quot;-&quot;??_);_(@_)"/>
      <fill>
        <patternFill patternType="solid">
          <fgColor indexed="64"/>
          <bgColor indexed="9"/>
        </patternFill>
      </fill>
    </dxf>
    <dxf>
      <font>
        <b val="0"/>
        <i val="0"/>
        <strike val="0"/>
        <condense val="0"/>
        <extend val="0"/>
        <outline val="0"/>
        <shadow val="0"/>
        <u val="none"/>
        <vertAlign val="baseline"/>
        <sz val="10"/>
        <color auto="1"/>
        <name val="Tahoma"/>
        <scheme val="none"/>
      </font>
      <fill>
        <patternFill patternType="solid">
          <fgColor indexed="64"/>
          <bgColor indexed="9"/>
        </patternFill>
      </fill>
    </dxf>
    <dxf>
      <font>
        <b val="0"/>
        <i val="0"/>
        <strike val="0"/>
        <condense val="0"/>
        <extend val="0"/>
        <outline val="0"/>
        <shadow val="0"/>
        <u val="none"/>
        <vertAlign val="baseline"/>
        <sz val="10"/>
        <color auto="1"/>
        <name val="Tahoma"/>
        <scheme val="none"/>
      </font>
      <fill>
        <patternFill patternType="solid">
          <fgColor indexed="64"/>
          <bgColor indexed="9"/>
        </patternFill>
      </fill>
    </dxf>
    <dxf>
      <font>
        <b val="0"/>
        <i val="0"/>
        <strike val="0"/>
        <condense val="0"/>
        <extend val="0"/>
        <outline val="0"/>
        <shadow val="0"/>
        <u val="none"/>
        <vertAlign val="baseline"/>
        <sz val="10"/>
        <color auto="1"/>
        <name val="Tahoma"/>
        <scheme val="none"/>
      </font>
      <fill>
        <patternFill patternType="solid">
          <fgColor indexed="64"/>
          <bgColor indexed="9"/>
        </patternFill>
      </fill>
    </dxf>
    <dxf>
      <border outline="0">
        <top style="medium">
          <color indexed="64"/>
        </top>
      </border>
    </dxf>
    <dxf>
      <font>
        <b val="0"/>
        <i val="0"/>
        <strike val="0"/>
        <condense val="0"/>
        <extend val="0"/>
        <outline val="0"/>
        <shadow val="0"/>
        <u val="none"/>
        <vertAlign val="baseline"/>
        <sz val="10"/>
        <color auto="1"/>
        <name val="Tahoma"/>
        <scheme val="none"/>
      </font>
      <fill>
        <patternFill patternType="solid">
          <fgColor indexed="64"/>
          <bgColor indexed="9"/>
        </patternFill>
      </fill>
    </dxf>
    <dxf>
      <border outline="0">
        <bottom style="medium">
          <color indexed="64"/>
        </bottom>
      </border>
    </dxf>
    <dxf>
      <font>
        <b/>
        <i val="0"/>
        <strike val="0"/>
        <condense val="0"/>
        <extend val="0"/>
        <outline val="0"/>
        <shadow val="0"/>
        <u val="none"/>
        <vertAlign val="baseline"/>
        <sz val="10"/>
        <color indexed="9"/>
        <name val="Tahoma"/>
        <scheme val="none"/>
      </font>
      <fill>
        <patternFill patternType="solid">
          <fgColor indexed="64"/>
          <bgColor indexed="18"/>
        </patternFill>
      </fill>
      <alignment horizontal="center" vertical="center" textRotation="0" wrapText="1"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213F75"/>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BF7"/>
      <rgbColor rgb="00CCFFCC"/>
      <rgbColor rgb="00FFFF99"/>
      <rgbColor rgb="005B7D7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7DA"/>
      <color rgb="FFA79009"/>
      <color rgb="FF1DFF83"/>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19050</xdr:rowOff>
    </xdr:from>
    <xdr:to>
      <xdr:col>3</xdr:col>
      <xdr:colOff>3114675</xdr:colOff>
      <xdr:row>3</xdr:row>
      <xdr:rowOff>104775</xdr:rowOff>
    </xdr:to>
    <xdr:sp macro="" textlink="">
      <xdr:nvSpPr>
        <xdr:cNvPr id="1026" name="Text Box 2"/>
        <xdr:cNvSpPr txBox="1">
          <a:spLocks noChangeArrowheads="1"/>
        </xdr:cNvSpPr>
      </xdr:nvSpPr>
      <xdr:spPr bwMode="auto">
        <a:xfrm>
          <a:off x="1552575" y="657225"/>
          <a:ext cx="484822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Tahoma"/>
              <a:ea typeface="Tahoma"/>
              <a:cs typeface="Tahoma"/>
            </a:rPr>
            <a:t>Para los artículos que no aparecen en la lista, llámenos al </a:t>
          </a:r>
          <a:r>
            <a:rPr lang="en-US" sz="900" b="1" i="0" u="none" strike="noStrike" baseline="0">
              <a:solidFill>
                <a:srgbClr val="000000"/>
              </a:solidFill>
              <a:latin typeface="Tahoma"/>
              <a:ea typeface="Tahoma"/>
              <a:cs typeface="Tahoma"/>
            </a:rPr>
            <a:t>[número de teléfono]</a:t>
          </a:r>
          <a:endParaRPr lang="en-US"/>
        </a:p>
      </xdr:txBody>
    </xdr:sp>
    <xdr:clientData/>
  </xdr:twoCellAnchor>
  <xdr:twoCellAnchor>
    <xdr:from>
      <xdr:col>2</xdr:col>
      <xdr:colOff>1314450</xdr:colOff>
      <xdr:row>3</xdr:row>
      <xdr:rowOff>38100</xdr:rowOff>
    </xdr:from>
    <xdr:to>
      <xdr:col>3</xdr:col>
      <xdr:colOff>2095500</xdr:colOff>
      <xdr:row>3</xdr:row>
      <xdr:rowOff>390525</xdr:rowOff>
    </xdr:to>
    <xdr:sp macro="" textlink="">
      <xdr:nvSpPr>
        <xdr:cNvPr id="1027" name="Text Box 3"/>
        <xdr:cNvSpPr txBox="1">
          <a:spLocks noChangeArrowheads="1"/>
        </xdr:cNvSpPr>
      </xdr:nvSpPr>
      <xdr:spPr bwMode="auto">
        <a:xfrm>
          <a:off x="2533650" y="895350"/>
          <a:ext cx="2847975"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Tahoma"/>
              <a:ea typeface="Tahoma"/>
              <a:cs typeface="Tahoma"/>
            </a:rPr>
            <a:t>*Los precios por volumen se refieren a cantidades de 12 o más unidades</a:t>
          </a:r>
          <a:endParaRPr lang="en-US"/>
        </a:p>
      </xdr:txBody>
    </xdr:sp>
    <xdr:clientData/>
  </xdr:twoCellAnchor>
  <xdr:twoCellAnchor editAs="oneCell">
    <xdr:from>
      <xdr:col>9</xdr:col>
      <xdr:colOff>352423</xdr:colOff>
      <xdr:row>3</xdr:row>
      <xdr:rowOff>19050</xdr:rowOff>
    </xdr:from>
    <xdr:to>
      <xdr:col>9</xdr:col>
      <xdr:colOff>793603</xdr:colOff>
      <xdr:row>3</xdr:row>
      <xdr:rowOff>426695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77305" y="881903"/>
          <a:ext cx="441180" cy="407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333375</xdr:colOff>
      <xdr:row>3</xdr:row>
      <xdr:rowOff>19050</xdr:rowOff>
    </xdr:from>
    <xdr:to>
      <xdr:col>3</xdr:col>
      <xdr:colOff>3114675</xdr:colOff>
      <xdr:row>4</xdr:row>
      <xdr:rowOff>104775</xdr:rowOff>
    </xdr:to>
    <xdr:sp macro="" textlink="">
      <xdr:nvSpPr>
        <xdr:cNvPr id="2" name="Text Box 2"/>
        <xdr:cNvSpPr txBox="1">
          <a:spLocks noChangeArrowheads="1"/>
        </xdr:cNvSpPr>
      </xdr:nvSpPr>
      <xdr:spPr bwMode="auto">
        <a:xfrm>
          <a:off x="1800225" y="657225"/>
          <a:ext cx="412432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Tahoma"/>
              <a:ea typeface="Tahoma"/>
              <a:cs typeface="Tahoma"/>
            </a:rPr>
            <a:t>Para los artículos que no aparecen en la lista, llámenos al </a:t>
          </a:r>
          <a:r>
            <a:rPr lang="en-US" sz="900" b="1" i="0" u="none" strike="noStrike" baseline="0">
              <a:solidFill>
                <a:srgbClr val="000000"/>
              </a:solidFill>
              <a:latin typeface="Tahoma"/>
              <a:ea typeface="Tahoma"/>
              <a:cs typeface="Tahoma"/>
            </a:rPr>
            <a:t>[número de teléfono]</a:t>
          </a:r>
          <a:endParaRPr lang="en-US"/>
        </a:p>
      </xdr:txBody>
    </xdr:sp>
    <xdr:clientData/>
  </xdr:twoCellAnchor>
  <xdr:twoCellAnchor>
    <xdr:from>
      <xdr:col>1</xdr:col>
      <xdr:colOff>1314450</xdr:colOff>
      <xdr:row>4</xdr:row>
      <xdr:rowOff>38100</xdr:rowOff>
    </xdr:from>
    <xdr:to>
      <xdr:col>3</xdr:col>
      <xdr:colOff>2095500</xdr:colOff>
      <xdr:row>4</xdr:row>
      <xdr:rowOff>390525</xdr:rowOff>
    </xdr:to>
    <xdr:sp macro="" textlink="">
      <xdr:nvSpPr>
        <xdr:cNvPr id="3" name="Text Box 3"/>
        <xdr:cNvSpPr txBox="1">
          <a:spLocks noChangeArrowheads="1"/>
        </xdr:cNvSpPr>
      </xdr:nvSpPr>
      <xdr:spPr bwMode="auto">
        <a:xfrm>
          <a:off x="2781300" y="895350"/>
          <a:ext cx="314325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Tahoma"/>
              <a:ea typeface="Tahoma"/>
              <a:cs typeface="Tahoma"/>
            </a:rPr>
            <a:t>*Los precios por volumen se refieren a cantidades de 12 o más unidades</a:t>
          </a: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219074</xdr:colOff>
      <xdr:row>0</xdr:row>
      <xdr:rowOff>28576</xdr:rowOff>
    </xdr:from>
    <xdr:to>
      <xdr:col>2</xdr:col>
      <xdr:colOff>660254</xdr:colOff>
      <xdr:row>1</xdr:row>
      <xdr:rowOff>266700</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49" y="28576"/>
          <a:ext cx="441180" cy="400049"/>
        </a:xfrm>
        <a:prstGeom prst="rect">
          <a:avLst/>
        </a:prstGeom>
      </xdr:spPr>
    </xdr:pic>
    <xdr:clientData/>
  </xdr:twoCellAnchor>
</xdr:wsDr>
</file>

<file path=xl/tables/table1.xml><?xml version="1.0" encoding="utf-8"?>
<table xmlns="http://schemas.openxmlformats.org/spreadsheetml/2006/main" id="2" name="Tabla2" displayName="Tabla2" ref="B5:F200" totalsRowShown="0" headerRowDxfId="36" dataDxfId="34" headerRowBorderDxfId="35" tableBorderDxfId="33">
  <autoFilter ref="B5:F200"/>
  <tableColumns count="5">
    <tableColumn id="1" name="Número de producto" dataDxfId="32"/>
    <tableColumn id="2" name="Producto/insignia" dataDxfId="31"/>
    <tableColumn id="3" name="Precio BASE" dataDxfId="30"/>
    <tableColumn id="4" name="Precio por UD aprox." dataDxfId="29"/>
    <tableColumn id="5" name="Precio de venta (+0.15)*" dataDxfId="28"/>
  </tableColumns>
  <tableStyleInfo name="TableStyleMedium2" showFirstColumn="0" showLastColumn="0" showRowStripes="1" showColumnStripes="0"/>
</table>
</file>

<file path=xl/tables/table2.xml><?xml version="1.0" encoding="utf-8"?>
<table xmlns="http://schemas.openxmlformats.org/spreadsheetml/2006/main" id="3" name="Tabla3" displayName="Tabla3" ref="J5:M35" totalsRowShown="0" headerRowDxfId="27" headerRowBorderDxfId="26" tableBorderDxfId="25">
  <autoFilter ref="J5:M35"/>
  <tableColumns count="4">
    <tableColumn id="1" name="Renglon" dataDxfId="24"/>
    <tableColumn id="2" name="Articulo" dataDxfId="23"/>
    <tableColumn id="3" name="Precio de venta" dataDxfId="22"/>
    <tableColumn id="4" name="Precio de venta2" dataDxfId="21"/>
  </tableColumns>
  <tableStyleInfo name="TableStyleMedium2" showFirstColumn="0" showLastColumn="0" showRowStripes="1" showColumnStripes="0"/>
</table>
</file>

<file path=xl/tables/table3.xml><?xml version="1.0" encoding="utf-8"?>
<table xmlns="http://schemas.openxmlformats.org/spreadsheetml/2006/main" id="5" name="Tabla5" displayName="Tabla5" ref="B2:D153" totalsRowShown="0" headerRowDxfId="20" dataDxfId="19" tableBorderDxfId="18">
  <autoFilter ref="B2:D153">
    <filterColumn colId="0" hiddenButton="1"/>
    <filterColumn colId="1" hiddenButton="1"/>
    <filterColumn colId="2" hiddenButton="1"/>
  </autoFilter>
  <tableColumns count="3">
    <tableColumn id="1" name="Renglon" dataDxfId="17"/>
    <tableColumn id="2" name=" Articulo" dataDxfId="16"/>
    <tableColumn id="3" name="Cantidad" dataDxfId="15"/>
  </tableColumns>
  <tableStyleInfo name="TableStyleLight8" showFirstColumn="1" showLastColumn="0" showRowStripes="1" showColumnStripes="0"/>
</table>
</file>

<file path=xl/tables/table4.xml><?xml version="1.0" encoding="utf-8"?>
<table xmlns="http://schemas.openxmlformats.org/spreadsheetml/2006/main" id="1" name="Tabla1" displayName="Tabla1" ref="A7:C202" totalsRowShown="0" headerRowDxfId="14" dataDxfId="12" headerRowBorderDxfId="13" tableBorderDxfId="11" totalsRowBorderDxfId="10">
  <autoFilter ref="A7:C202"/>
  <tableColumns count="3">
    <tableColumn id="1" name="Número de producto" dataDxfId="9"/>
    <tableColumn id="2" name="Nombre" dataDxfId="8"/>
    <tableColumn id="3" name="Precio ud" dataDxfId="7" dataCellStyle="Moneda"/>
  </tableColumns>
  <tableStyleInfo name="TableStyleMedium3" showFirstColumn="0" showLastColumn="0" showRowStripes="1" showColumnStripes="0"/>
</table>
</file>

<file path=xl/tables/table5.xml><?xml version="1.0" encoding="utf-8"?>
<table xmlns="http://schemas.openxmlformats.org/spreadsheetml/2006/main" id="6" name="Tabla6" displayName="Tabla6" ref="C3:H206" totalsRowShown="0" headerRowDxfId="6" headerRowBorderDxfId="5" tableBorderDxfId="4">
  <autoFilter ref="C3:H206"/>
  <tableColumns count="6">
    <tableColumn id="1" name="Renglon" dataDxfId="3"/>
    <tableColumn id="2" name="Articulo" dataDxfId="2"/>
    <tableColumn id="3" name="Precio de venta" dataDxfId="1"/>
    <tableColumn id="4" name="Precio de venta2" dataDxfId="0"/>
    <tableColumn id="5" name="Estado"/>
    <tableColumn id="6" name="Cantidad disponible"/>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21"/>
  <sheetViews>
    <sheetView showGridLines="0" topLeftCell="D1" zoomScale="85" zoomScaleNormal="85" workbookViewId="0">
      <selection activeCell="I3" sqref="I3:N40"/>
    </sheetView>
  </sheetViews>
  <sheetFormatPr baseColWidth="10" defaultColWidth="9.109375" defaultRowHeight="12.55" x14ac:dyDescent="0.2"/>
  <cols>
    <col min="1" max="1" width="15" style="1" customWidth="1"/>
    <col min="2" max="2" width="16.5546875" style="1" customWidth="1"/>
    <col min="3" max="3" width="52.6640625" style="1" customWidth="1"/>
    <col min="4" max="4" width="14.109375" style="1" customWidth="1"/>
    <col min="5" max="5" width="19.109375" style="14" customWidth="1"/>
    <col min="6" max="6" width="20.33203125" style="14" customWidth="1"/>
    <col min="7" max="8" width="9.109375" style="1"/>
    <col min="9" max="9" width="6.33203125" style="1" customWidth="1"/>
    <col min="10" max="10" width="16.6640625" style="1" customWidth="1"/>
    <col min="11" max="11" width="39" style="1" customWidth="1"/>
    <col min="12" max="12" width="19.44140625" style="1" customWidth="1"/>
    <col min="13" max="13" width="15.6640625" style="1" customWidth="1"/>
    <col min="14" max="16384" width="9.109375" style="1"/>
  </cols>
  <sheetData>
    <row r="1" spans="2:13" s="2" customFormat="1" ht="14.4" x14ac:dyDescent="0.25">
      <c r="B1" s="150" t="s">
        <v>114</v>
      </c>
      <c r="C1" s="150"/>
      <c r="D1" s="150"/>
      <c r="E1" s="150"/>
      <c r="F1" s="150"/>
    </row>
    <row r="2" spans="2:13" ht="36" customHeight="1" x14ac:dyDescent="0.5">
      <c r="B2" s="151" t="s">
        <v>0</v>
      </c>
      <c r="C2" s="151"/>
      <c r="D2" s="151"/>
      <c r="E2" s="151"/>
      <c r="F2" s="151"/>
    </row>
    <row r="3" spans="2:13" ht="9.1" customHeight="1" thickBot="1" x14ac:dyDescent="0.25">
      <c r="B3" s="152"/>
      <c r="C3" s="152"/>
      <c r="D3" s="152"/>
      <c r="E3" s="152"/>
      <c r="F3" s="152"/>
    </row>
    <row r="4" spans="2:13" ht="51.05" customHeight="1" x14ac:dyDescent="0.2">
      <c r="B4" s="3"/>
      <c r="C4" s="4"/>
      <c r="D4" s="3"/>
      <c r="E4" s="15"/>
      <c r="F4" s="18" t="s">
        <v>1</v>
      </c>
      <c r="K4" s="56" t="s">
        <v>204</v>
      </c>
      <c r="L4" s="68" t="s">
        <v>342</v>
      </c>
      <c r="M4" s="94" t="s">
        <v>343</v>
      </c>
    </row>
    <row r="5" spans="2:13" ht="30.7" customHeight="1" thickBot="1" x14ac:dyDescent="0.25">
      <c r="B5" s="26" t="s">
        <v>2</v>
      </c>
      <c r="C5" s="53" t="s">
        <v>183</v>
      </c>
      <c r="D5" s="27" t="s">
        <v>119</v>
      </c>
      <c r="E5" s="52" t="s">
        <v>112</v>
      </c>
      <c r="F5" s="28" t="s">
        <v>113</v>
      </c>
      <c r="J5" s="62" t="s">
        <v>195</v>
      </c>
      <c r="K5" s="63" t="s">
        <v>120</v>
      </c>
      <c r="L5" s="62" t="s">
        <v>115</v>
      </c>
      <c r="M5" s="62" t="s">
        <v>203</v>
      </c>
    </row>
    <row r="6" spans="2:13" x14ac:dyDescent="0.2">
      <c r="B6" s="5"/>
      <c r="C6" s="7" t="s">
        <v>4</v>
      </c>
      <c r="D6" s="21">
        <v>200</v>
      </c>
      <c r="E6" s="19">
        <f>Tabla2[[#This Row],[Precio BASE]]+(Tabla2[[#This Row],[Precio BASE]]*0.15)</f>
        <v>230</v>
      </c>
      <c r="F6" s="16">
        <v>230</v>
      </c>
      <c r="J6" s="60" t="s">
        <v>156</v>
      </c>
      <c r="K6" s="57" t="s">
        <v>4</v>
      </c>
      <c r="L6" s="57">
        <v>200</v>
      </c>
      <c r="M6" s="95">
        <v>230</v>
      </c>
    </row>
    <row r="7" spans="2:13" ht="12.7" customHeight="1" x14ac:dyDescent="0.2">
      <c r="B7" s="8"/>
      <c r="C7" s="10" t="s">
        <v>5</v>
      </c>
      <c r="D7" s="22">
        <v>190</v>
      </c>
      <c r="E7" s="19">
        <f>Tabla2[[#This Row],[Precio BASE]]+(Tabla2[[#This Row],[Precio BASE]]*0.15)</f>
        <v>218.5</v>
      </c>
      <c r="F7" s="17">
        <v>220</v>
      </c>
      <c r="J7" s="60" t="s">
        <v>156</v>
      </c>
      <c r="K7" s="57" t="s">
        <v>5</v>
      </c>
      <c r="L7" s="58">
        <v>190</v>
      </c>
      <c r="M7" s="58">
        <v>220</v>
      </c>
    </row>
    <row r="8" spans="2:13" x14ac:dyDescent="0.2">
      <c r="B8" s="5"/>
      <c r="C8" s="7" t="s">
        <v>6</v>
      </c>
      <c r="D8" s="23">
        <v>175</v>
      </c>
      <c r="E8" s="19">
        <f>Tabla2[[#This Row],[Precio BASE]]+(Tabla2[[#This Row],[Precio BASE]]*0.15)</f>
        <v>201.25</v>
      </c>
      <c r="F8" s="16">
        <v>200</v>
      </c>
      <c r="J8" s="60" t="s">
        <v>156</v>
      </c>
      <c r="K8" s="57" t="s">
        <v>6</v>
      </c>
      <c r="L8" s="58">
        <v>175</v>
      </c>
      <c r="M8" s="96">
        <v>200</v>
      </c>
    </row>
    <row r="9" spans="2:13" x14ac:dyDescent="0.2">
      <c r="B9" s="8"/>
      <c r="C9" s="10" t="s">
        <v>63</v>
      </c>
      <c r="D9" s="22">
        <v>70</v>
      </c>
      <c r="E9" s="19">
        <f>Tabla2[[#This Row],[Precio BASE]]+(Tabla2[[#This Row],[Precio BASE]]*0.15)</f>
        <v>80.5</v>
      </c>
      <c r="F9" s="13">
        <v>80</v>
      </c>
      <c r="J9" s="60" t="s">
        <v>156</v>
      </c>
      <c r="K9" s="57" t="s">
        <v>189</v>
      </c>
      <c r="L9" s="58">
        <v>70</v>
      </c>
      <c r="M9" s="58">
        <v>80</v>
      </c>
    </row>
    <row r="10" spans="2:13" ht="13.5" customHeight="1" x14ac:dyDescent="0.2">
      <c r="B10" s="5"/>
      <c r="C10" s="7" t="s">
        <v>64</v>
      </c>
      <c r="D10" s="23">
        <v>70</v>
      </c>
      <c r="E10" s="19">
        <f>Tabla2[[#This Row],[Precio BASE]]+(Tabla2[[#This Row],[Precio BASE]]*0.15)</f>
        <v>80.5</v>
      </c>
      <c r="F10" s="16">
        <v>80</v>
      </c>
      <c r="J10" s="60" t="s">
        <v>156</v>
      </c>
      <c r="K10" s="57" t="s">
        <v>116</v>
      </c>
      <c r="L10" s="58">
        <v>150</v>
      </c>
      <c r="M10" s="96">
        <v>175</v>
      </c>
    </row>
    <row r="11" spans="2:13" x14ac:dyDescent="0.2">
      <c r="B11" s="8"/>
      <c r="C11" s="10" t="s">
        <v>65</v>
      </c>
      <c r="D11" s="22">
        <v>70</v>
      </c>
      <c r="E11" s="19">
        <f>Tabla2[[#This Row],[Precio BASE]]+(Tabla2[[#This Row],[Precio BASE]]*0.15)</f>
        <v>80.5</v>
      </c>
      <c r="F11" s="13">
        <v>80</v>
      </c>
      <c r="J11" s="60" t="s">
        <v>156</v>
      </c>
      <c r="K11" s="57" t="s">
        <v>117</v>
      </c>
      <c r="L11" s="58">
        <v>175</v>
      </c>
      <c r="M11" s="58">
        <v>200</v>
      </c>
    </row>
    <row r="12" spans="2:13" x14ac:dyDescent="0.2">
      <c r="B12" s="5"/>
      <c r="C12" s="7" t="s">
        <v>66</v>
      </c>
      <c r="D12" s="23">
        <v>70</v>
      </c>
      <c r="E12" s="19">
        <f>Tabla2[[#This Row],[Precio BASE]]+(Tabla2[[#This Row],[Precio BASE]]*0.15)</f>
        <v>80.5</v>
      </c>
      <c r="F12" s="16">
        <v>80</v>
      </c>
      <c r="J12" s="60" t="s">
        <v>156</v>
      </c>
      <c r="K12" s="57" t="s">
        <v>118</v>
      </c>
      <c r="L12" s="58">
        <v>250</v>
      </c>
      <c r="M12" s="96">
        <f>L12+(L12*0.15)+12.5</f>
        <v>300</v>
      </c>
    </row>
    <row r="13" spans="2:13" x14ac:dyDescent="0.2">
      <c r="B13" s="8"/>
      <c r="C13" s="10" t="s">
        <v>67</v>
      </c>
      <c r="D13" s="22">
        <v>70</v>
      </c>
      <c r="E13" s="19">
        <f>Tabla2[[#This Row],[Precio BASE]]+(Tabla2[[#This Row],[Precio BASE]]*0.15)</f>
        <v>80.5</v>
      </c>
      <c r="F13" s="13">
        <v>80</v>
      </c>
      <c r="J13" s="69" t="s">
        <v>196</v>
      </c>
      <c r="K13" s="57" t="s">
        <v>205</v>
      </c>
      <c r="L13" s="58">
        <v>450</v>
      </c>
      <c r="M13" s="58">
        <f>L13+(L13*0.15)+32.5</f>
        <v>550</v>
      </c>
    </row>
    <row r="14" spans="2:13" ht="25.05" x14ac:dyDescent="0.2">
      <c r="B14" s="5"/>
      <c r="C14" s="7" t="s">
        <v>68</v>
      </c>
      <c r="D14" s="23">
        <v>70</v>
      </c>
      <c r="E14" s="19">
        <f>Tabla2[[#This Row],[Precio BASE]]+(Tabla2[[#This Row],[Precio BASE]]*0.15)</f>
        <v>80.5</v>
      </c>
      <c r="F14" s="16">
        <v>80</v>
      </c>
      <c r="J14" s="60" t="s">
        <v>156</v>
      </c>
      <c r="K14" s="73" t="s">
        <v>206</v>
      </c>
      <c r="L14" s="59">
        <v>150</v>
      </c>
      <c r="M14" s="97">
        <f>L14+(L14*0.334)-0.1</f>
        <v>200</v>
      </c>
    </row>
    <row r="15" spans="2:13" ht="62.65" x14ac:dyDescent="0.2">
      <c r="B15" s="8"/>
      <c r="C15" s="10" t="s">
        <v>69</v>
      </c>
      <c r="D15" s="22">
        <v>70</v>
      </c>
      <c r="E15" s="19">
        <f>Tabla2[[#This Row],[Precio BASE]]+(Tabla2[[#This Row],[Precio BASE]]*0.15)</f>
        <v>80.5</v>
      </c>
      <c r="F15" s="13">
        <v>80</v>
      </c>
      <c r="J15" s="70" t="s">
        <v>196</v>
      </c>
      <c r="K15" s="86" t="s">
        <v>194</v>
      </c>
      <c r="L15" s="65">
        <v>200</v>
      </c>
      <c r="M15" s="79">
        <f>L15+(L15*0.15)+20</f>
        <v>250</v>
      </c>
    </row>
    <row r="16" spans="2:13" ht="25.05" x14ac:dyDescent="0.2">
      <c r="B16" s="5"/>
      <c r="C16" s="7" t="s">
        <v>70</v>
      </c>
      <c r="D16" s="23">
        <v>70</v>
      </c>
      <c r="E16" s="19">
        <f>Tabla2[[#This Row],[Precio BASE]]+(Tabla2[[#This Row],[Precio BASE]]*0.15)</f>
        <v>80.5</v>
      </c>
      <c r="F16" s="16">
        <v>80</v>
      </c>
      <c r="J16" s="72" t="s">
        <v>196</v>
      </c>
      <c r="K16" s="64" t="s">
        <v>190</v>
      </c>
      <c r="L16" s="65">
        <v>250</v>
      </c>
      <c r="M16" s="65">
        <f>L16+(L16*0.15)+12.5</f>
        <v>300</v>
      </c>
    </row>
    <row r="17" spans="2:13" ht="25.05" x14ac:dyDescent="0.2">
      <c r="B17" s="8"/>
      <c r="C17" s="10" t="s">
        <v>71</v>
      </c>
      <c r="D17" s="22">
        <v>70</v>
      </c>
      <c r="E17" s="19">
        <f>Tabla2[[#This Row],[Precio BASE]]+(Tabla2[[#This Row],[Precio BASE]]*0.15)</f>
        <v>80.5</v>
      </c>
      <c r="F17" s="13">
        <v>80</v>
      </c>
      <c r="J17" s="66" t="s">
        <v>196</v>
      </c>
      <c r="K17" s="67" t="s">
        <v>193</v>
      </c>
      <c r="L17" s="65">
        <v>300</v>
      </c>
      <c r="M17" s="65">
        <f>L17+(L17*0.15)+5</f>
        <v>350</v>
      </c>
    </row>
    <row r="18" spans="2:13" ht="14.4" x14ac:dyDescent="0.2">
      <c r="B18" s="5"/>
      <c r="C18" s="7" t="s">
        <v>7</v>
      </c>
      <c r="D18" s="24"/>
      <c r="E18" s="19">
        <f>Tabla2[[#This Row],[Precio BASE]]+(Tabla2[[#This Row],[Precio BASE]]*0.15)</f>
        <v>0</v>
      </c>
      <c r="F18" s="16"/>
      <c r="J18" s="60" t="s">
        <v>156</v>
      </c>
      <c r="K18" s="57" t="s">
        <v>198</v>
      </c>
      <c r="L18" s="65">
        <v>100</v>
      </c>
      <c r="M18" s="80">
        <f>L18+(L18*0.15)+10</f>
        <v>125</v>
      </c>
    </row>
    <row r="19" spans="2:13" ht="12.7" customHeight="1" x14ac:dyDescent="0.2">
      <c r="B19" s="8"/>
      <c r="C19" s="10" t="s">
        <v>8</v>
      </c>
      <c r="D19" s="25"/>
      <c r="E19" s="19">
        <f>Tabla2[[#This Row],[Precio BASE]]+(Tabla2[[#This Row],[Precio BASE]]*0.15)</f>
        <v>0</v>
      </c>
      <c r="F19" s="17"/>
      <c r="J19" s="60" t="s">
        <v>156</v>
      </c>
      <c r="K19" s="57" t="s">
        <v>42</v>
      </c>
      <c r="L19" s="65">
        <v>150</v>
      </c>
      <c r="M19" s="81">
        <f>L19+(L19*0.15)+2.5</f>
        <v>175</v>
      </c>
    </row>
    <row r="20" spans="2:13" ht="14.4" x14ac:dyDescent="0.2">
      <c r="B20" s="5"/>
      <c r="C20" s="7" t="s">
        <v>12</v>
      </c>
      <c r="D20" s="23">
        <v>150</v>
      </c>
      <c r="E20" s="19">
        <f>Tabla2[[#This Row],[Precio BASE]]+(Tabla2[[#This Row],[Precio BASE]]*0.15)</f>
        <v>172.5</v>
      </c>
      <c r="F20" s="16">
        <v>175</v>
      </c>
      <c r="J20" s="60" t="s">
        <v>156</v>
      </c>
      <c r="K20" s="57" t="s">
        <v>191</v>
      </c>
      <c r="L20" s="65">
        <v>175</v>
      </c>
      <c r="M20" s="80">
        <f>L20+(L20*0.15)-1.25</f>
        <v>200</v>
      </c>
    </row>
    <row r="21" spans="2:13" ht="14.4" x14ac:dyDescent="0.2">
      <c r="B21" s="8"/>
      <c r="C21" s="10" t="s">
        <v>13</v>
      </c>
      <c r="D21" s="22">
        <v>150</v>
      </c>
      <c r="E21" s="19">
        <f>Tabla2[[#This Row],[Precio BASE]]+(Tabla2[[#This Row],[Precio BASE]]*0.15)</f>
        <v>172.5</v>
      </c>
      <c r="F21" s="17">
        <v>175</v>
      </c>
      <c r="J21" s="60" t="s">
        <v>156</v>
      </c>
      <c r="K21" s="57" t="s">
        <v>192</v>
      </c>
      <c r="L21" s="65">
        <v>225</v>
      </c>
      <c r="M21" s="81">
        <f>L21+(L21*0.15)+1.25</f>
        <v>260</v>
      </c>
    </row>
    <row r="22" spans="2:13" ht="14.4" x14ac:dyDescent="0.2">
      <c r="B22" s="29"/>
      <c r="C22" s="30" t="s">
        <v>14</v>
      </c>
      <c r="D22" s="20">
        <v>150</v>
      </c>
      <c r="E22" s="19">
        <f>Tabla2[[#This Row],[Precio BASE]]+(Tabla2[[#This Row],[Precio BASE]]*0.15)</f>
        <v>172.5</v>
      </c>
      <c r="F22" s="16">
        <v>175</v>
      </c>
      <c r="J22" s="60" t="s">
        <v>156</v>
      </c>
      <c r="K22" s="57" t="s">
        <v>222</v>
      </c>
      <c r="L22" s="65">
        <v>175</v>
      </c>
      <c r="M22" s="81">
        <f>L22+(L22*0.15)+1.25</f>
        <v>202.5</v>
      </c>
    </row>
    <row r="23" spans="2:13" ht="25.05" x14ac:dyDescent="0.2">
      <c r="B23" s="8"/>
      <c r="C23" s="10" t="s">
        <v>15</v>
      </c>
      <c r="D23" s="22">
        <v>150</v>
      </c>
      <c r="E23" s="19">
        <f>Tabla2[[#This Row],[Precio BASE]]+(Tabla2[[#This Row],[Precio BASE]]*0.15)</f>
        <v>172.5</v>
      </c>
      <c r="F23" s="17">
        <v>175</v>
      </c>
      <c r="J23" s="72" t="s">
        <v>196</v>
      </c>
      <c r="K23" s="64" t="s">
        <v>217</v>
      </c>
      <c r="L23" s="65">
        <v>300</v>
      </c>
      <c r="M23" s="65">
        <f>L23+(L23*0.15)+5</f>
        <v>350</v>
      </c>
    </row>
    <row r="24" spans="2:13" ht="14.4" x14ac:dyDescent="0.2">
      <c r="B24" s="5"/>
      <c r="C24" s="7" t="s">
        <v>9</v>
      </c>
      <c r="D24" s="23">
        <v>175</v>
      </c>
      <c r="E24" s="19">
        <f>Tabla2[[#This Row],[Precio BASE]]+(Tabla2[[#This Row],[Precio BASE]]*0.15)</f>
        <v>201.25</v>
      </c>
      <c r="F24" s="16">
        <v>200</v>
      </c>
      <c r="J24" s="60" t="s">
        <v>156</v>
      </c>
      <c r="K24" s="57" t="s">
        <v>218</v>
      </c>
      <c r="L24" s="65">
        <v>700</v>
      </c>
      <c r="M24" s="80">
        <f>L24+(L24*0.15)-5</f>
        <v>800</v>
      </c>
    </row>
    <row r="25" spans="2:13" ht="25.05" x14ac:dyDescent="0.2">
      <c r="B25" s="8"/>
      <c r="C25" s="10" t="s">
        <v>10</v>
      </c>
      <c r="D25" s="22">
        <v>700</v>
      </c>
      <c r="E25" s="19">
        <f>Tabla2[[#This Row],[Precio BASE]]+(Tabla2[[#This Row],[Precio BASE]]*0.15)</f>
        <v>805</v>
      </c>
      <c r="F25" s="17">
        <v>800</v>
      </c>
      <c r="J25" s="66" t="s">
        <v>156</v>
      </c>
      <c r="K25" s="64" t="s">
        <v>197</v>
      </c>
      <c r="L25" s="65">
        <v>700</v>
      </c>
      <c r="M25" s="65">
        <f t="shared" ref="M25:M33" si="0">L25+(L25*0.15)</f>
        <v>805</v>
      </c>
    </row>
    <row r="26" spans="2:13" x14ac:dyDescent="0.2">
      <c r="B26" s="5"/>
      <c r="C26" s="7" t="s">
        <v>16</v>
      </c>
      <c r="D26" s="24"/>
      <c r="E26" s="19">
        <f>Tabla2[[#This Row],[Precio BASE]]+(Tabla2[[#This Row],[Precio BASE]]*0.15)</f>
        <v>0</v>
      </c>
      <c r="F26" s="16"/>
      <c r="J26" s="60" t="s">
        <v>156</v>
      </c>
      <c r="K26" s="57" t="s">
        <v>211</v>
      </c>
      <c r="L26" s="87"/>
      <c r="M26" s="82"/>
    </row>
    <row r="27" spans="2:13" ht="14.4" x14ac:dyDescent="0.2">
      <c r="B27" s="8"/>
      <c r="C27" s="10" t="s">
        <v>17</v>
      </c>
      <c r="D27" s="25"/>
      <c r="E27" s="19">
        <f>Tabla2[[#This Row],[Precio BASE]]+(Tabla2[[#This Row],[Precio BASE]]*0.15)</f>
        <v>0</v>
      </c>
      <c r="F27" s="17"/>
      <c r="J27" s="60" t="s">
        <v>156</v>
      </c>
      <c r="K27" s="57" t="s">
        <v>212</v>
      </c>
      <c r="L27" s="88"/>
      <c r="M27" s="81"/>
    </row>
    <row r="28" spans="2:13" x14ac:dyDescent="0.2">
      <c r="B28" s="5"/>
      <c r="C28" s="7" t="s">
        <v>18</v>
      </c>
      <c r="D28" s="24"/>
      <c r="E28" s="19">
        <f>Tabla2[[#This Row],[Precio BASE]]+(Tabla2[[#This Row],[Precio BASE]]*0.15)</f>
        <v>0</v>
      </c>
      <c r="F28" s="16"/>
      <c r="J28" s="71" t="s">
        <v>196</v>
      </c>
      <c r="K28" s="64" t="s">
        <v>199</v>
      </c>
      <c r="L28" s="65">
        <v>200</v>
      </c>
      <c r="M28" s="65">
        <f t="shared" si="0"/>
        <v>230</v>
      </c>
    </row>
    <row r="29" spans="2:13" x14ac:dyDescent="0.2">
      <c r="B29" s="8"/>
      <c r="C29" s="10" t="s">
        <v>19</v>
      </c>
      <c r="D29" s="25"/>
      <c r="E29" s="19">
        <f>Tabla2[[#This Row],[Precio BASE]]+(Tabla2[[#This Row],[Precio BASE]]*0.15)</f>
        <v>0</v>
      </c>
      <c r="F29" s="17"/>
      <c r="J29" s="60" t="s">
        <v>196</v>
      </c>
      <c r="K29" s="57" t="s">
        <v>185</v>
      </c>
      <c r="L29" s="65">
        <v>400</v>
      </c>
      <c r="M29" s="65">
        <f t="shared" si="0"/>
        <v>460</v>
      </c>
    </row>
    <row r="30" spans="2:13" ht="14.4" x14ac:dyDescent="0.2">
      <c r="B30" s="5"/>
      <c r="C30" s="7" t="s">
        <v>11</v>
      </c>
      <c r="D30" s="24"/>
      <c r="E30" s="19">
        <f>Tabla2[[#This Row],[Precio BASE]]+(Tabla2[[#This Row],[Precio BASE]]*0.15)</f>
        <v>0</v>
      </c>
      <c r="F30" s="16"/>
      <c r="J30" s="60" t="s">
        <v>156</v>
      </c>
      <c r="K30" s="57" t="s">
        <v>214</v>
      </c>
      <c r="L30" s="65">
        <v>250</v>
      </c>
      <c r="M30" s="80">
        <f>L30+(L30*0.15)+12.5</f>
        <v>300</v>
      </c>
    </row>
    <row r="31" spans="2:13" x14ac:dyDescent="0.2">
      <c r="B31" s="8"/>
      <c r="C31" s="10" t="s">
        <v>20</v>
      </c>
      <c r="D31" s="22">
        <v>250</v>
      </c>
      <c r="E31" s="19">
        <f>Tabla2[[#This Row],[Precio BASE]]+(Tabla2[[#This Row],[Precio BASE]]*0.15)</f>
        <v>287.5</v>
      </c>
      <c r="F31" s="17">
        <v>290</v>
      </c>
      <c r="J31" s="60" t="s">
        <v>156</v>
      </c>
      <c r="K31" s="57" t="s">
        <v>213</v>
      </c>
      <c r="L31" s="65">
        <v>600</v>
      </c>
      <c r="M31" s="65">
        <f t="shared" si="0"/>
        <v>690</v>
      </c>
    </row>
    <row r="32" spans="2:13" ht="14.25" customHeight="1" x14ac:dyDescent="0.2">
      <c r="B32" s="5"/>
      <c r="C32" s="7" t="s">
        <v>21</v>
      </c>
      <c r="D32" s="23">
        <v>250</v>
      </c>
      <c r="E32" s="19">
        <f>Tabla2[[#This Row],[Precio BASE]]+(Tabla2[[#This Row],[Precio BASE]]*0.15)</f>
        <v>287.5</v>
      </c>
      <c r="F32" s="17">
        <v>290</v>
      </c>
      <c r="J32" s="72" t="s">
        <v>156</v>
      </c>
      <c r="K32" s="73" t="s">
        <v>200</v>
      </c>
      <c r="L32" s="65">
        <v>250</v>
      </c>
      <c r="M32" s="81">
        <f>L32+(L32*0.15)+12.5</f>
        <v>300</v>
      </c>
    </row>
    <row r="33" spans="2:13" x14ac:dyDescent="0.2">
      <c r="B33" s="8"/>
      <c r="C33" s="10" t="s">
        <v>22</v>
      </c>
      <c r="D33" s="22">
        <v>250</v>
      </c>
      <c r="E33" s="19">
        <f>Tabla2[[#This Row],[Precio BASE]]+(Tabla2[[#This Row],[Precio BASE]]*0.15)</f>
        <v>287.5</v>
      </c>
      <c r="F33" s="17">
        <v>290</v>
      </c>
      <c r="J33" s="66" t="s">
        <v>196</v>
      </c>
      <c r="K33" s="57" t="s">
        <v>201</v>
      </c>
      <c r="L33" s="65"/>
      <c r="M33" s="65">
        <f t="shared" si="0"/>
        <v>0</v>
      </c>
    </row>
    <row r="34" spans="2:13" ht="14.25" customHeight="1" x14ac:dyDescent="0.2">
      <c r="B34" s="5"/>
      <c r="C34" s="7" t="s">
        <v>23</v>
      </c>
      <c r="D34" s="23">
        <v>250</v>
      </c>
      <c r="E34" s="19">
        <f>Tabla2[[#This Row],[Precio BASE]]+(Tabla2[[#This Row],[Precio BASE]]*0.15)</f>
        <v>287.5</v>
      </c>
      <c r="F34" s="17">
        <v>290</v>
      </c>
      <c r="J34" s="60" t="s">
        <v>156</v>
      </c>
      <c r="K34" s="57" t="s">
        <v>215</v>
      </c>
      <c r="L34" s="65">
        <v>325</v>
      </c>
      <c r="M34" s="80">
        <f>L34+(L34*0.15)+1.25</f>
        <v>375</v>
      </c>
    </row>
    <row r="35" spans="2:13" ht="14.25" customHeight="1" x14ac:dyDescent="0.2">
      <c r="B35" s="8"/>
      <c r="C35" s="10" t="s">
        <v>24</v>
      </c>
      <c r="D35" s="22">
        <v>250</v>
      </c>
      <c r="E35" s="19">
        <f>Tabla2[[#This Row],[Precio BASE]]+(Tabla2[[#This Row],[Precio BASE]]*0.15)</f>
        <v>287.5</v>
      </c>
      <c r="F35" s="17">
        <v>290</v>
      </c>
      <c r="J35" s="60" t="s">
        <v>156</v>
      </c>
      <c r="K35" s="57" t="s">
        <v>216</v>
      </c>
      <c r="L35" s="83">
        <v>375</v>
      </c>
      <c r="M35" s="84">
        <f>L35+(L35*0.15)+3.75</f>
        <v>435</v>
      </c>
    </row>
    <row r="36" spans="2:13" ht="14.4" x14ac:dyDescent="0.2">
      <c r="B36" s="5"/>
      <c r="C36" s="7" t="s">
        <v>25</v>
      </c>
      <c r="D36" s="23">
        <v>250</v>
      </c>
      <c r="E36" s="19">
        <f>Tabla2[[#This Row],[Precio BASE]]+(Tabla2[[#This Row],[Precio BASE]]*0.15)</f>
        <v>287.5</v>
      </c>
      <c r="F36" s="17">
        <v>290</v>
      </c>
      <c r="J36" s="74" t="s">
        <v>156</v>
      </c>
      <c r="K36" s="75" t="s">
        <v>202</v>
      </c>
      <c r="L36" s="78">
        <v>2700</v>
      </c>
      <c r="M36" s="85">
        <f>L36+(L36*0.1112)</f>
        <v>3000.24</v>
      </c>
    </row>
    <row r="37" spans="2:13" ht="14.4" x14ac:dyDescent="0.2">
      <c r="B37" s="8"/>
      <c r="C37" s="10" t="s">
        <v>26</v>
      </c>
      <c r="D37" s="22">
        <v>250</v>
      </c>
      <c r="E37" s="19">
        <f>Tabla2[[#This Row],[Precio BASE]]+(Tabla2[[#This Row],[Precio BASE]]*0.15)</f>
        <v>287.5</v>
      </c>
      <c r="F37" s="17">
        <v>290</v>
      </c>
      <c r="J37" s="61" t="s">
        <v>219</v>
      </c>
      <c r="K37" s="76" t="s">
        <v>220</v>
      </c>
      <c r="L37" s="77">
        <v>200</v>
      </c>
      <c r="M37" s="85">
        <f>L37+(L37*0.2)</f>
        <v>240</v>
      </c>
    </row>
    <row r="38" spans="2:13" ht="14.4" x14ac:dyDescent="0.2">
      <c r="B38" s="5"/>
      <c r="C38" s="7" t="s">
        <v>27</v>
      </c>
      <c r="D38" s="23">
        <v>250</v>
      </c>
      <c r="E38" s="19">
        <f>Tabla2[[#This Row],[Precio BASE]]+(Tabla2[[#This Row],[Precio BASE]]*0.15)</f>
        <v>287.5</v>
      </c>
      <c r="F38" s="17">
        <v>290</v>
      </c>
      <c r="J38" s="74" t="s">
        <v>219</v>
      </c>
      <c r="K38" s="75" t="s">
        <v>221</v>
      </c>
      <c r="L38" s="78">
        <v>200</v>
      </c>
      <c r="M38" s="85">
        <f>L38+(L38*0.15)</f>
        <v>230</v>
      </c>
    </row>
    <row r="39" spans="2:13" ht="14.4" x14ac:dyDescent="0.2">
      <c r="B39" s="8"/>
      <c r="C39" s="10" t="s">
        <v>28</v>
      </c>
      <c r="D39" s="22">
        <v>250</v>
      </c>
      <c r="E39" s="19">
        <f>Tabla2[[#This Row],[Precio BASE]]+(Tabla2[[#This Row],[Precio BASE]]*0.15)</f>
        <v>287.5</v>
      </c>
      <c r="F39" s="17">
        <v>290</v>
      </c>
      <c r="J39" s="61" t="s">
        <v>219</v>
      </c>
      <c r="K39" s="76" t="s">
        <v>223</v>
      </c>
      <c r="L39" s="77">
        <v>400</v>
      </c>
      <c r="M39" s="85">
        <f>L39+(L39*0.25)</f>
        <v>500</v>
      </c>
    </row>
    <row r="40" spans="2:13" x14ac:dyDescent="0.2">
      <c r="B40" s="5"/>
      <c r="C40" s="7" t="s">
        <v>29</v>
      </c>
      <c r="D40" s="23">
        <v>250</v>
      </c>
      <c r="E40" s="19">
        <f>Tabla2[[#This Row],[Precio BASE]]+(Tabla2[[#This Row],[Precio BASE]]*0.15)</f>
        <v>287.5</v>
      </c>
      <c r="F40" s="17">
        <v>290</v>
      </c>
    </row>
    <row r="41" spans="2:13" x14ac:dyDescent="0.2">
      <c r="B41" s="8"/>
      <c r="C41" s="10" t="s">
        <v>30</v>
      </c>
      <c r="D41" s="22">
        <v>250</v>
      </c>
      <c r="E41" s="19">
        <f>Tabla2[[#This Row],[Precio BASE]]+(Tabla2[[#This Row],[Precio BASE]]*0.15)</f>
        <v>287.5</v>
      </c>
      <c r="F41" s="17">
        <v>290</v>
      </c>
    </row>
    <row r="42" spans="2:13" x14ac:dyDescent="0.2">
      <c r="B42" s="5"/>
      <c r="C42" s="7" t="s">
        <v>31</v>
      </c>
      <c r="D42" s="23">
        <v>250</v>
      </c>
      <c r="E42" s="19">
        <f>Tabla2[[#This Row],[Precio BASE]]+(Tabla2[[#This Row],[Precio BASE]]*0.15)</f>
        <v>287.5</v>
      </c>
      <c r="F42" s="17">
        <v>290</v>
      </c>
    </row>
    <row r="43" spans="2:13" ht="13.5" customHeight="1" x14ac:dyDescent="0.2">
      <c r="B43" s="8"/>
      <c r="C43" s="10" t="s">
        <v>32</v>
      </c>
      <c r="D43" s="22">
        <v>250</v>
      </c>
      <c r="E43" s="19">
        <f>Tabla2[[#This Row],[Precio BASE]]+(Tabla2[[#This Row],[Precio BASE]]*0.15)</f>
        <v>287.5</v>
      </c>
      <c r="F43" s="17">
        <v>290</v>
      </c>
    </row>
    <row r="44" spans="2:13" ht="14.25" customHeight="1" x14ac:dyDescent="0.2">
      <c r="B44" s="5"/>
      <c r="C44" s="7" t="s">
        <v>33</v>
      </c>
      <c r="D44" s="23">
        <v>250</v>
      </c>
      <c r="E44" s="19">
        <f>Tabla2[[#This Row],[Precio BASE]]+(Tabla2[[#This Row],[Precio BASE]]*0.15)</f>
        <v>287.5</v>
      </c>
      <c r="F44" s="17">
        <v>290</v>
      </c>
    </row>
    <row r="45" spans="2:13" x14ac:dyDescent="0.2">
      <c r="B45" s="8"/>
      <c r="C45" s="10" t="s">
        <v>34</v>
      </c>
      <c r="D45" s="22">
        <v>250</v>
      </c>
      <c r="E45" s="19">
        <f>Tabla2[[#This Row],[Precio BASE]]+(Tabla2[[#This Row],[Precio BASE]]*0.15)</f>
        <v>287.5</v>
      </c>
      <c r="F45" s="17">
        <v>290</v>
      </c>
    </row>
    <row r="46" spans="2:13" x14ac:dyDescent="0.2">
      <c r="B46" s="5"/>
      <c r="C46" s="7" t="s">
        <v>35</v>
      </c>
      <c r="D46" s="23">
        <v>250</v>
      </c>
      <c r="E46" s="19">
        <f>Tabla2[[#This Row],[Precio BASE]]+(Tabla2[[#This Row],[Precio BASE]]*0.15)</f>
        <v>287.5</v>
      </c>
      <c r="F46" s="17">
        <v>290</v>
      </c>
    </row>
    <row r="47" spans="2:13" ht="15.05" customHeight="1" x14ac:dyDescent="0.2">
      <c r="B47" s="8"/>
      <c r="C47" s="10" t="s">
        <v>36</v>
      </c>
      <c r="D47" s="22">
        <v>250</v>
      </c>
      <c r="E47" s="19">
        <f>Tabla2[[#This Row],[Precio BASE]]+(Tabla2[[#This Row],[Precio BASE]]*0.15)</f>
        <v>287.5</v>
      </c>
      <c r="F47" s="17">
        <v>290</v>
      </c>
    </row>
    <row r="48" spans="2:13" x14ac:dyDescent="0.2">
      <c r="B48" s="5"/>
      <c r="C48" s="7" t="s">
        <v>37</v>
      </c>
      <c r="D48" s="23">
        <v>250</v>
      </c>
      <c r="E48" s="19">
        <f>Tabla2[[#This Row],[Precio BASE]]+(Tabla2[[#This Row],[Precio BASE]]*0.15)</f>
        <v>287.5</v>
      </c>
      <c r="F48" s="17">
        <v>290</v>
      </c>
    </row>
    <row r="49" spans="2:6" x14ac:dyDescent="0.2">
      <c r="B49" s="8"/>
      <c r="C49" s="10" t="s">
        <v>38</v>
      </c>
      <c r="D49" s="25"/>
      <c r="E49" s="19">
        <f>Tabla2[[#This Row],[Precio BASE]]+(Tabla2[[#This Row],[Precio BASE]]*0.15)</f>
        <v>0</v>
      </c>
      <c r="F49" s="17"/>
    </row>
    <row r="50" spans="2:6" x14ac:dyDescent="0.2">
      <c r="B50" s="5"/>
      <c r="C50" s="7" t="s">
        <v>39</v>
      </c>
      <c r="D50" s="24"/>
      <c r="E50" s="19">
        <f>Tabla2[[#This Row],[Precio BASE]]+(Tabla2[[#This Row],[Precio BASE]]*0.15)</f>
        <v>0</v>
      </c>
      <c r="F50" s="16"/>
    </row>
    <row r="51" spans="2:6" ht="13.5" customHeight="1" x14ac:dyDescent="0.2">
      <c r="B51" s="8"/>
      <c r="C51" s="10" t="s">
        <v>40</v>
      </c>
      <c r="D51" s="25"/>
      <c r="E51" s="19">
        <f>Tabla2[[#This Row],[Precio BASE]]+(Tabla2[[#This Row],[Precio BASE]]*0.15)</f>
        <v>0</v>
      </c>
      <c r="F51" s="17"/>
    </row>
    <row r="52" spans="2:6" x14ac:dyDescent="0.2">
      <c r="B52" s="5"/>
      <c r="C52" s="7" t="s">
        <v>41</v>
      </c>
      <c r="D52" s="24"/>
      <c r="E52" s="19">
        <f>Tabla2[[#This Row],[Precio BASE]]+(Tabla2[[#This Row],[Precio BASE]]*0.15)</f>
        <v>0</v>
      </c>
      <c r="F52" s="16"/>
    </row>
    <row r="53" spans="2:6" x14ac:dyDescent="0.2">
      <c r="B53" s="8"/>
      <c r="C53" s="10" t="s">
        <v>42</v>
      </c>
      <c r="D53" s="22">
        <v>150</v>
      </c>
      <c r="E53" s="19">
        <f>Tabla2[[#This Row],[Precio BASE]]+(Tabla2[[#This Row],[Precio BASE]]*0.15)</f>
        <v>172.5</v>
      </c>
      <c r="F53" s="17">
        <v>175</v>
      </c>
    </row>
    <row r="54" spans="2:6" x14ac:dyDescent="0.2">
      <c r="B54" s="5"/>
      <c r="C54" s="7" t="s">
        <v>43</v>
      </c>
      <c r="D54" s="23">
        <v>175</v>
      </c>
      <c r="E54" s="19">
        <f>Tabla2[[#This Row],[Precio BASE]]+(Tabla2[[#This Row],[Precio BASE]]*0.15)</f>
        <v>201.25</v>
      </c>
      <c r="F54" s="16">
        <v>200</v>
      </c>
    </row>
    <row r="55" spans="2:6" x14ac:dyDescent="0.2">
      <c r="B55" s="8"/>
      <c r="C55" s="10" t="s">
        <v>44</v>
      </c>
      <c r="D55" s="22">
        <v>200</v>
      </c>
      <c r="E55" s="19">
        <f>Tabla2[[#This Row],[Precio BASE]]+(Tabla2[[#This Row],[Precio BASE]]*0.15)</f>
        <v>230</v>
      </c>
      <c r="F55" s="17">
        <v>230</v>
      </c>
    </row>
    <row r="56" spans="2:6" x14ac:dyDescent="0.2">
      <c r="B56" s="5"/>
      <c r="C56" s="7" t="s">
        <v>50</v>
      </c>
      <c r="D56" s="23">
        <v>150</v>
      </c>
      <c r="E56" s="19">
        <f>Tabla2[[#This Row],[Precio BASE]]+(Tabla2[[#This Row],[Precio BASE]]*0.15)</f>
        <v>172.5</v>
      </c>
      <c r="F56" s="23">
        <v>175</v>
      </c>
    </row>
    <row r="57" spans="2:6" x14ac:dyDescent="0.2">
      <c r="B57" s="8"/>
      <c r="C57" s="10" t="s">
        <v>51</v>
      </c>
      <c r="D57" s="22">
        <v>150</v>
      </c>
      <c r="E57" s="19">
        <f>Tabla2[[#This Row],[Precio BASE]]+(Tabla2[[#This Row],[Precio BASE]]*0.15)</f>
        <v>172.5</v>
      </c>
      <c r="F57" s="17">
        <v>175</v>
      </c>
    </row>
    <row r="58" spans="2:6" x14ac:dyDescent="0.2">
      <c r="B58" s="5"/>
      <c r="C58" s="7" t="s">
        <v>52</v>
      </c>
      <c r="D58" s="23">
        <v>150</v>
      </c>
      <c r="E58" s="19">
        <f>Tabla2[[#This Row],[Precio BASE]]+(Tabla2[[#This Row],[Precio BASE]]*0.15)</f>
        <v>172.5</v>
      </c>
      <c r="F58" s="23">
        <v>175</v>
      </c>
    </row>
    <row r="59" spans="2:6" x14ac:dyDescent="0.2">
      <c r="B59" s="8"/>
      <c r="C59" s="10" t="s">
        <v>45</v>
      </c>
      <c r="D59" s="22">
        <v>150</v>
      </c>
      <c r="E59" s="19">
        <f>Tabla2[[#This Row],[Precio BASE]]+(Tabla2[[#This Row],[Precio BASE]]*0.15)</f>
        <v>172.5</v>
      </c>
      <c r="F59" s="17">
        <v>175</v>
      </c>
    </row>
    <row r="60" spans="2:6" x14ac:dyDescent="0.2">
      <c r="B60" s="5"/>
      <c r="C60" s="7" t="s">
        <v>46</v>
      </c>
      <c r="D60" s="23">
        <v>150</v>
      </c>
      <c r="E60" s="19">
        <f>Tabla2[[#This Row],[Precio BASE]]+(Tabla2[[#This Row],[Precio BASE]]*0.15)</f>
        <v>172.5</v>
      </c>
      <c r="F60" s="23">
        <v>175</v>
      </c>
    </row>
    <row r="61" spans="2:6" x14ac:dyDescent="0.2">
      <c r="B61" s="8"/>
      <c r="C61" s="10" t="s">
        <v>47</v>
      </c>
      <c r="D61" s="22">
        <v>150</v>
      </c>
      <c r="E61" s="19">
        <f>Tabla2[[#This Row],[Precio BASE]]+(Tabla2[[#This Row],[Precio BASE]]*0.15)</f>
        <v>172.5</v>
      </c>
      <c r="F61" s="17">
        <v>175</v>
      </c>
    </row>
    <row r="62" spans="2:6" x14ac:dyDescent="0.2">
      <c r="B62" s="5"/>
      <c r="C62" s="6" t="s">
        <v>48</v>
      </c>
      <c r="D62" s="23">
        <v>150</v>
      </c>
      <c r="E62" s="19">
        <f>Tabla2[[#This Row],[Precio BASE]]+(Tabla2[[#This Row],[Precio BASE]]*0.15)</f>
        <v>172.5</v>
      </c>
      <c r="F62" s="23">
        <v>175</v>
      </c>
    </row>
    <row r="63" spans="2:6" x14ac:dyDescent="0.2">
      <c r="B63" s="8"/>
      <c r="C63" s="9" t="s">
        <v>49</v>
      </c>
      <c r="D63" s="22">
        <v>150</v>
      </c>
      <c r="E63" s="19">
        <f>Tabla2[[#This Row],[Precio BASE]]+(Tabla2[[#This Row],[Precio BASE]]*0.15)</f>
        <v>172.5</v>
      </c>
      <c r="F63" s="17">
        <v>175</v>
      </c>
    </row>
    <row r="64" spans="2:6" x14ac:dyDescent="0.2">
      <c r="B64" s="5"/>
      <c r="C64" s="6" t="s">
        <v>53</v>
      </c>
      <c r="D64" s="23">
        <v>100</v>
      </c>
      <c r="E64" s="19">
        <f>Tabla2[[#This Row],[Precio BASE]]+(Tabla2[[#This Row],[Precio BASE]]*0.15)</f>
        <v>115</v>
      </c>
      <c r="F64" s="16">
        <v>115</v>
      </c>
    </row>
    <row r="65" spans="2:6" x14ac:dyDescent="0.2">
      <c r="B65" s="8"/>
      <c r="C65" s="9" t="s">
        <v>54</v>
      </c>
      <c r="D65" s="23">
        <v>100</v>
      </c>
      <c r="E65" s="19">
        <f>Tabla2[[#This Row],[Precio BASE]]+(Tabla2[[#This Row],[Precio BASE]]*0.15)</f>
        <v>115</v>
      </c>
      <c r="F65" s="16">
        <v>115</v>
      </c>
    </row>
    <row r="66" spans="2:6" x14ac:dyDescent="0.2">
      <c r="B66" s="5"/>
      <c r="C66" s="6" t="s">
        <v>55</v>
      </c>
      <c r="D66" s="23">
        <v>100</v>
      </c>
      <c r="E66" s="19">
        <f>Tabla2[[#This Row],[Precio BASE]]+(Tabla2[[#This Row],[Precio BASE]]*0.15)</f>
        <v>115</v>
      </c>
      <c r="F66" s="16">
        <v>115</v>
      </c>
    </row>
    <row r="67" spans="2:6" x14ac:dyDescent="0.2">
      <c r="B67" s="8"/>
      <c r="C67" s="9" t="s">
        <v>56</v>
      </c>
      <c r="D67" s="23">
        <v>100</v>
      </c>
      <c r="E67" s="19">
        <f>Tabla2[[#This Row],[Precio BASE]]+(Tabla2[[#This Row],[Precio BASE]]*0.15)</f>
        <v>115</v>
      </c>
      <c r="F67" s="16">
        <v>115</v>
      </c>
    </row>
    <row r="68" spans="2:6" x14ac:dyDescent="0.2">
      <c r="B68" s="5"/>
      <c r="C68" s="6" t="s">
        <v>57</v>
      </c>
      <c r="D68" s="23">
        <v>100</v>
      </c>
      <c r="E68" s="19">
        <f>Tabla2[[#This Row],[Precio BASE]]+(Tabla2[[#This Row],[Precio BASE]]*0.15)</f>
        <v>115</v>
      </c>
      <c r="F68" s="16">
        <v>115</v>
      </c>
    </row>
    <row r="69" spans="2:6" x14ac:dyDescent="0.2">
      <c r="B69" s="8"/>
      <c r="C69" s="9" t="s">
        <v>58</v>
      </c>
      <c r="D69" s="23">
        <v>100</v>
      </c>
      <c r="E69" s="19">
        <f>Tabla2[[#This Row],[Precio BASE]]+(Tabla2[[#This Row],[Precio BASE]]*0.15)</f>
        <v>115</v>
      </c>
      <c r="F69" s="16">
        <v>115</v>
      </c>
    </row>
    <row r="70" spans="2:6" x14ac:dyDescent="0.2">
      <c r="B70" s="5"/>
      <c r="C70" s="6" t="s">
        <v>59</v>
      </c>
      <c r="D70" s="23">
        <v>100</v>
      </c>
      <c r="E70" s="19">
        <f>Tabla2[[#This Row],[Precio BASE]]+(Tabla2[[#This Row],[Precio BASE]]*0.15)</f>
        <v>115</v>
      </c>
      <c r="F70" s="16">
        <v>115</v>
      </c>
    </row>
    <row r="71" spans="2:6" x14ac:dyDescent="0.2">
      <c r="B71" s="8"/>
      <c r="C71" s="9" t="s">
        <v>60</v>
      </c>
      <c r="D71" s="23">
        <v>100</v>
      </c>
      <c r="E71" s="19">
        <f>Tabla2[[#This Row],[Precio BASE]]+(Tabla2[[#This Row],[Precio BASE]]*0.15)</f>
        <v>115</v>
      </c>
      <c r="F71" s="16">
        <v>115</v>
      </c>
    </row>
    <row r="72" spans="2:6" x14ac:dyDescent="0.2">
      <c r="B72" s="5"/>
      <c r="C72" s="6" t="s">
        <v>61</v>
      </c>
      <c r="D72" s="23">
        <v>100</v>
      </c>
      <c r="E72" s="19">
        <f>Tabla2[[#This Row],[Precio BASE]]+(Tabla2[[#This Row],[Precio BASE]]*0.15)</f>
        <v>115</v>
      </c>
      <c r="F72" s="16">
        <v>115</v>
      </c>
    </row>
    <row r="73" spans="2:6" x14ac:dyDescent="0.2">
      <c r="B73" s="8"/>
      <c r="C73" s="9" t="s">
        <v>62</v>
      </c>
      <c r="D73" s="23">
        <v>100</v>
      </c>
      <c r="E73" s="19">
        <f>Tabla2[[#This Row],[Precio BASE]]+(Tabla2[[#This Row],[Precio BASE]]*0.15)</f>
        <v>115</v>
      </c>
      <c r="F73" s="16">
        <v>115</v>
      </c>
    </row>
    <row r="74" spans="2:6" x14ac:dyDescent="0.2">
      <c r="B74" s="5"/>
      <c r="C74" s="6" t="s">
        <v>74</v>
      </c>
      <c r="D74" s="55"/>
      <c r="E74" s="11"/>
      <c r="F74" s="16"/>
    </row>
    <row r="75" spans="2:6" x14ac:dyDescent="0.2">
      <c r="B75" s="8"/>
      <c r="C75" s="9" t="s">
        <v>72</v>
      </c>
      <c r="D75" s="54"/>
      <c r="E75" s="12"/>
      <c r="F75" s="17"/>
    </row>
    <row r="76" spans="2:6" x14ac:dyDescent="0.2">
      <c r="B76" s="5"/>
      <c r="C76" s="6" t="s">
        <v>73</v>
      </c>
      <c r="D76" s="55"/>
      <c r="E76" s="11"/>
      <c r="F76" s="16"/>
    </row>
    <row r="77" spans="2:6" x14ac:dyDescent="0.2">
      <c r="B77" s="8"/>
      <c r="C77" s="9" t="s">
        <v>75</v>
      </c>
      <c r="D77" s="54"/>
      <c r="E77" s="12"/>
      <c r="F77" s="17"/>
    </row>
    <row r="78" spans="2:6" x14ac:dyDescent="0.2">
      <c r="B78" s="5"/>
      <c r="C78" s="6" t="s">
        <v>76</v>
      </c>
      <c r="D78" s="55"/>
      <c r="E78" s="11"/>
      <c r="F78" s="16"/>
    </row>
    <row r="79" spans="2:6" x14ac:dyDescent="0.2">
      <c r="B79" s="8"/>
      <c r="C79" s="9" t="s">
        <v>77</v>
      </c>
      <c r="D79" s="54"/>
      <c r="E79" s="12"/>
      <c r="F79" s="17"/>
    </row>
    <row r="80" spans="2:6" x14ac:dyDescent="0.2">
      <c r="B80" s="5"/>
      <c r="C80" s="6" t="s">
        <v>78</v>
      </c>
      <c r="D80" s="55"/>
      <c r="E80" s="11"/>
      <c r="F80" s="16"/>
    </row>
    <row r="81" spans="2:6" x14ac:dyDescent="0.2">
      <c r="B81" s="8"/>
      <c r="C81" s="9" t="s">
        <v>79</v>
      </c>
      <c r="D81" s="54"/>
      <c r="E81" s="12"/>
      <c r="F81" s="17"/>
    </row>
    <row r="82" spans="2:6" x14ac:dyDescent="0.2">
      <c r="B82" s="5"/>
      <c r="C82" s="6" t="s">
        <v>80</v>
      </c>
      <c r="D82" s="55"/>
      <c r="E82" s="11"/>
      <c r="F82" s="16"/>
    </row>
    <row r="83" spans="2:6" x14ac:dyDescent="0.2">
      <c r="B83" s="8"/>
      <c r="C83" s="9" t="s">
        <v>81</v>
      </c>
      <c r="D83" s="54"/>
      <c r="E83" s="12"/>
      <c r="F83" s="17"/>
    </row>
    <row r="84" spans="2:6" x14ac:dyDescent="0.2">
      <c r="B84" s="5"/>
      <c r="C84" s="6" t="s">
        <v>82</v>
      </c>
      <c r="D84" s="55"/>
      <c r="E84" s="11"/>
      <c r="F84" s="16"/>
    </row>
    <row r="85" spans="2:6" x14ac:dyDescent="0.2">
      <c r="B85" s="8"/>
      <c r="C85" s="9" t="s">
        <v>83</v>
      </c>
      <c r="D85" s="54"/>
      <c r="E85" s="12"/>
      <c r="F85" s="17"/>
    </row>
    <row r="86" spans="2:6" x14ac:dyDescent="0.2">
      <c r="B86" s="5"/>
      <c r="C86" s="6" t="s">
        <v>105</v>
      </c>
      <c r="D86" s="55"/>
      <c r="E86" s="11"/>
      <c r="F86" s="16"/>
    </row>
    <row r="87" spans="2:6" x14ac:dyDescent="0.2">
      <c r="B87" s="8"/>
      <c r="C87" s="9" t="s">
        <v>106</v>
      </c>
      <c r="D87" s="54"/>
      <c r="E87" s="12"/>
      <c r="F87" s="17"/>
    </row>
    <row r="88" spans="2:6" x14ac:dyDescent="0.2">
      <c r="B88" s="5"/>
      <c r="C88" s="6" t="s">
        <v>84</v>
      </c>
      <c r="D88" s="23">
        <v>200</v>
      </c>
      <c r="E88" s="11"/>
      <c r="F88" s="16"/>
    </row>
    <row r="89" spans="2:6" x14ac:dyDescent="0.2">
      <c r="B89" s="8"/>
      <c r="C89" s="9" t="s">
        <v>85</v>
      </c>
      <c r="D89" s="22">
        <v>200</v>
      </c>
      <c r="E89" s="12"/>
      <c r="F89" s="17"/>
    </row>
    <row r="90" spans="2:6" x14ac:dyDescent="0.2">
      <c r="B90" s="5"/>
      <c r="C90" s="6" t="s">
        <v>86</v>
      </c>
      <c r="D90" s="23">
        <v>200</v>
      </c>
      <c r="E90" s="11"/>
      <c r="F90" s="16"/>
    </row>
    <row r="91" spans="2:6" x14ac:dyDescent="0.2">
      <c r="B91" s="8"/>
      <c r="C91" s="9" t="s">
        <v>87</v>
      </c>
      <c r="D91" s="22">
        <v>200</v>
      </c>
      <c r="E91" s="12"/>
      <c r="F91" s="17"/>
    </row>
    <row r="92" spans="2:6" x14ac:dyDescent="0.2">
      <c r="B92" s="5"/>
      <c r="C92" s="6" t="s">
        <v>88</v>
      </c>
      <c r="D92" s="23">
        <v>300</v>
      </c>
      <c r="E92" s="11"/>
      <c r="F92" s="16"/>
    </row>
    <row r="93" spans="2:6" x14ac:dyDescent="0.2">
      <c r="B93" s="8"/>
      <c r="C93" s="9" t="s">
        <v>89</v>
      </c>
      <c r="D93" s="22">
        <v>200</v>
      </c>
      <c r="E93" s="12"/>
      <c r="F93" s="17"/>
    </row>
    <row r="94" spans="2:6" x14ac:dyDescent="0.2">
      <c r="B94" s="5"/>
      <c r="C94" s="6" t="s">
        <v>90</v>
      </c>
      <c r="D94" s="23">
        <v>200</v>
      </c>
      <c r="E94" s="11"/>
      <c r="F94" s="16"/>
    </row>
    <row r="95" spans="2:6" x14ac:dyDescent="0.2">
      <c r="B95" s="8"/>
      <c r="C95" s="9" t="s">
        <v>93</v>
      </c>
      <c r="D95" s="22">
        <v>200</v>
      </c>
      <c r="E95" s="12"/>
      <c r="F95" s="17"/>
    </row>
    <row r="96" spans="2:6" x14ac:dyDescent="0.2">
      <c r="B96" s="5"/>
      <c r="C96" s="6" t="s">
        <v>92</v>
      </c>
      <c r="D96" s="23">
        <v>200</v>
      </c>
      <c r="E96" s="11"/>
      <c r="F96" s="16"/>
    </row>
    <row r="97" spans="2:6" x14ac:dyDescent="0.2">
      <c r="B97" s="8"/>
      <c r="C97" s="9" t="s">
        <v>94</v>
      </c>
      <c r="D97" s="22">
        <v>200</v>
      </c>
      <c r="E97" s="12"/>
      <c r="F97" s="17"/>
    </row>
    <row r="98" spans="2:6" x14ac:dyDescent="0.2">
      <c r="B98" s="5"/>
      <c r="C98" s="6" t="s">
        <v>91</v>
      </c>
      <c r="D98" s="23">
        <v>200</v>
      </c>
      <c r="E98" s="11"/>
      <c r="F98" s="16"/>
    </row>
    <row r="99" spans="2:6" x14ac:dyDescent="0.2">
      <c r="B99" s="8"/>
      <c r="C99" s="9" t="s">
        <v>95</v>
      </c>
      <c r="D99" s="22">
        <v>200</v>
      </c>
      <c r="E99" s="12"/>
      <c r="F99" s="17"/>
    </row>
    <row r="100" spans="2:6" x14ac:dyDescent="0.2">
      <c r="B100" s="5"/>
      <c r="C100" s="6" t="s">
        <v>96</v>
      </c>
      <c r="D100" s="23">
        <v>200</v>
      </c>
      <c r="E100" s="11"/>
      <c r="F100" s="16"/>
    </row>
    <row r="101" spans="2:6" x14ac:dyDescent="0.2">
      <c r="B101" s="8"/>
      <c r="C101" s="9" t="s">
        <v>97</v>
      </c>
      <c r="D101" s="22">
        <v>250</v>
      </c>
      <c r="E101" s="12"/>
      <c r="F101" s="17"/>
    </row>
    <row r="102" spans="2:6" x14ac:dyDescent="0.2">
      <c r="B102" s="5"/>
      <c r="C102" s="6" t="s">
        <v>98</v>
      </c>
      <c r="D102" s="23">
        <v>300</v>
      </c>
      <c r="E102" s="11"/>
      <c r="F102" s="16"/>
    </row>
    <row r="103" spans="2:6" x14ac:dyDescent="0.2">
      <c r="B103" s="8"/>
      <c r="C103" s="9" t="s">
        <v>99</v>
      </c>
      <c r="D103" s="22">
        <v>300</v>
      </c>
      <c r="E103" s="12"/>
      <c r="F103" s="17"/>
    </row>
    <row r="104" spans="2:6" x14ac:dyDescent="0.2">
      <c r="B104" s="5"/>
      <c r="C104" s="6" t="s">
        <v>100</v>
      </c>
      <c r="D104" s="23">
        <v>300</v>
      </c>
      <c r="E104" s="11"/>
      <c r="F104" s="16"/>
    </row>
    <row r="105" spans="2:6" x14ac:dyDescent="0.2">
      <c r="B105" s="8"/>
      <c r="C105" s="9" t="s">
        <v>101</v>
      </c>
      <c r="D105" s="22">
        <v>250</v>
      </c>
      <c r="E105" s="12"/>
      <c r="F105" s="17"/>
    </row>
    <row r="106" spans="2:6" x14ac:dyDescent="0.2">
      <c r="B106" s="5"/>
      <c r="C106" s="6" t="s">
        <v>102</v>
      </c>
      <c r="D106" s="23">
        <v>250</v>
      </c>
      <c r="E106" s="11"/>
      <c r="F106" s="16"/>
    </row>
    <row r="107" spans="2:6" x14ac:dyDescent="0.2">
      <c r="B107" s="8"/>
      <c r="C107" s="9" t="s">
        <v>103</v>
      </c>
      <c r="D107" s="22">
        <v>250</v>
      </c>
      <c r="E107" s="12"/>
      <c r="F107" s="17"/>
    </row>
    <row r="108" spans="2:6" x14ac:dyDescent="0.2">
      <c r="B108" s="5"/>
      <c r="C108" s="6" t="s">
        <v>104</v>
      </c>
      <c r="D108" s="23">
        <v>250</v>
      </c>
      <c r="E108" s="11"/>
      <c r="F108" s="16"/>
    </row>
    <row r="109" spans="2:6" x14ac:dyDescent="0.2">
      <c r="B109" s="8"/>
      <c r="C109" s="9" t="s">
        <v>107</v>
      </c>
      <c r="D109" s="22"/>
      <c r="E109" s="12"/>
      <c r="F109" s="17"/>
    </row>
    <row r="110" spans="2:6" x14ac:dyDescent="0.2">
      <c r="B110" s="5"/>
      <c r="C110" s="6" t="s">
        <v>108</v>
      </c>
      <c r="D110" s="23"/>
      <c r="E110" s="11"/>
      <c r="F110" s="16"/>
    </row>
    <row r="111" spans="2:6" x14ac:dyDescent="0.2">
      <c r="B111" s="8"/>
      <c r="C111" s="9" t="s">
        <v>109</v>
      </c>
      <c r="D111" s="22"/>
      <c r="E111" s="12"/>
      <c r="F111" s="17"/>
    </row>
    <row r="112" spans="2:6" x14ac:dyDescent="0.2">
      <c r="B112" s="5"/>
      <c r="C112" s="6" t="s">
        <v>110</v>
      </c>
      <c r="D112" s="23"/>
      <c r="E112" s="11"/>
      <c r="F112" s="16"/>
    </row>
    <row r="113" spans="2:6" x14ac:dyDescent="0.2">
      <c r="B113" s="8"/>
      <c r="C113" s="9" t="s">
        <v>111</v>
      </c>
      <c r="D113" s="22"/>
      <c r="E113" s="12"/>
      <c r="F113" s="17"/>
    </row>
    <row r="114" spans="2:6" x14ac:dyDescent="0.2">
      <c r="B114" s="6"/>
      <c r="C114" s="6" t="s">
        <v>184</v>
      </c>
      <c r="D114" s="23">
        <v>300</v>
      </c>
      <c r="E114" s="11"/>
      <c r="F114" s="16"/>
    </row>
    <row r="115" spans="2:6" x14ac:dyDescent="0.2">
      <c r="B115" s="8"/>
      <c r="C115" s="9" t="s">
        <v>199</v>
      </c>
      <c r="D115" s="22">
        <v>200</v>
      </c>
      <c r="E115" s="12"/>
      <c r="F115" s="17"/>
    </row>
    <row r="116" spans="2:6" x14ac:dyDescent="0.2">
      <c r="B116" s="6"/>
      <c r="C116" s="6" t="s">
        <v>185</v>
      </c>
      <c r="D116" s="23">
        <v>400</v>
      </c>
      <c r="E116" s="11"/>
      <c r="F116" s="16"/>
    </row>
    <row r="117" spans="2:6" x14ac:dyDescent="0.2">
      <c r="B117" s="8"/>
      <c r="C117" s="9" t="s">
        <v>186</v>
      </c>
      <c r="D117" s="22">
        <v>50</v>
      </c>
      <c r="E117" s="12"/>
      <c r="F117" s="17"/>
    </row>
    <row r="118" spans="2:6" x14ac:dyDescent="0.2">
      <c r="B118" s="6"/>
      <c r="C118" s="6" t="s">
        <v>185</v>
      </c>
      <c r="D118" s="23">
        <v>400</v>
      </c>
      <c r="E118" s="11"/>
      <c r="F118" s="16"/>
    </row>
    <row r="119" spans="2:6" x14ac:dyDescent="0.2">
      <c r="B119" s="8"/>
      <c r="C119" s="9" t="s">
        <v>187</v>
      </c>
      <c r="D119" s="22"/>
      <c r="E119" s="12"/>
      <c r="F119" s="17"/>
    </row>
    <row r="120" spans="2:6" x14ac:dyDescent="0.2">
      <c r="B120" s="6"/>
      <c r="C120" s="6" t="s">
        <v>185</v>
      </c>
      <c r="D120" s="23">
        <v>400</v>
      </c>
      <c r="E120" s="11"/>
      <c r="F120" s="16"/>
    </row>
    <row r="121" spans="2:6" x14ac:dyDescent="0.2">
      <c r="B121" s="8"/>
      <c r="C121" s="9" t="s">
        <v>188</v>
      </c>
      <c r="D121" s="22">
        <f>60*34+760</f>
        <v>2800</v>
      </c>
      <c r="E121" s="12"/>
      <c r="F121" s="17"/>
    </row>
  </sheetData>
  <mergeCells count="3">
    <mergeCell ref="B1:F1"/>
    <mergeCell ref="B2:F2"/>
    <mergeCell ref="B3:F3"/>
  </mergeCells>
  <phoneticPr fontId="0" type="noConversion"/>
  <printOptions horizontalCentered="1"/>
  <pageMargins left="0.51" right="0.51" top="1" bottom="1" header="0.5" footer="0.5"/>
  <pageSetup paperSize="9" scale="76" orientation="landscape" r:id="rId1"/>
  <headerFooter alignWithMargins="0"/>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53"/>
  <sheetViews>
    <sheetView workbookViewId="0">
      <selection activeCell="C153" sqref="C153"/>
    </sheetView>
  </sheetViews>
  <sheetFormatPr baseColWidth="10" defaultRowHeight="12.55" x14ac:dyDescent="0.2"/>
  <cols>
    <col min="1" max="1" width="3.44140625" customWidth="1"/>
    <col min="2" max="2" width="14.44140625" customWidth="1"/>
    <col min="3" max="3" width="47.33203125" customWidth="1"/>
    <col min="4" max="4" width="15.33203125" customWidth="1"/>
  </cols>
  <sheetData>
    <row r="2" spans="2:4" ht="15.65" thickBot="1" x14ac:dyDescent="0.25">
      <c r="B2" s="109" t="s">
        <v>195</v>
      </c>
      <c r="C2" s="110" t="s">
        <v>317</v>
      </c>
      <c r="D2" s="111" t="s">
        <v>124</v>
      </c>
    </row>
    <row r="3" spans="2:4" ht="15.05" x14ac:dyDescent="0.25">
      <c r="B3" s="112" t="s">
        <v>156</v>
      </c>
      <c r="C3" s="127" t="s">
        <v>4</v>
      </c>
      <c r="D3" s="113"/>
    </row>
    <row r="4" spans="2:4" ht="15.05" x14ac:dyDescent="0.25">
      <c r="B4" s="112" t="s">
        <v>156</v>
      </c>
      <c r="C4" s="127" t="s">
        <v>224</v>
      </c>
      <c r="D4" s="113"/>
    </row>
    <row r="5" spans="2:4" ht="15.05" x14ac:dyDescent="0.25">
      <c r="B5" s="112" t="s">
        <v>156</v>
      </c>
      <c r="C5" s="127" t="s">
        <v>6</v>
      </c>
      <c r="D5" s="113"/>
    </row>
    <row r="6" spans="2:4" ht="15.05" x14ac:dyDescent="0.25">
      <c r="B6" s="112" t="s">
        <v>156</v>
      </c>
      <c r="C6" s="127" t="s">
        <v>228</v>
      </c>
      <c r="D6" s="113"/>
    </row>
    <row r="7" spans="2:4" ht="15.05" x14ac:dyDescent="0.25">
      <c r="B7" s="112" t="s">
        <v>156</v>
      </c>
      <c r="C7" s="127" t="s">
        <v>229</v>
      </c>
      <c r="D7" s="113"/>
    </row>
    <row r="8" spans="2:4" ht="15.05" x14ac:dyDescent="0.25">
      <c r="B8" s="112" t="s">
        <v>156</v>
      </c>
      <c r="C8" s="127" t="s">
        <v>230</v>
      </c>
      <c r="D8" s="113"/>
    </row>
    <row r="9" spans="2:4" ht="15.05" x14ac:dyDescent="0.25">
      <c r="B9" s="112" t="s">
        <v>156</v>
      </c>
      <c r="C9" s="127" t="s">
        <v>231</v>
      </c>
      <c r="D9" s="113"/>
    </row>
    <row r="10" spans="2:4" ht="15.05" x14ac:dyDescent="0.25">
      <c r="B10" s="112" t="s">
        <v>156</v>
      </c>
      <c r="C10" s="127" t="s">
        <v>232</v>
      </c>
      <c r="D10" s="113"/>
    </row>
    <row r="11" spans="2:4" ht="15.05" x14ac:dyDescent="0.25">
      <c r="B11" s="112" t="s">
        <v>156</v>
      </c>
      <c r="C11" s="127" t="s">
        <v>233</v>
      </c>
      <c r="D11" s="113"/>
    </row>
    <row r="12" spans="2:4" ht="15.05" x14ac:dyDescent="0.25">
      <c r="B12" s="112" t="s">
        <v>156</v>
      </c>
      <c r="C12" s="127" t="s">
        <v>234</v>
      </c>
      <c r="D12" s="113"/>
    </row>
    <row r="13" spans="2:4" ht="15.05" x14ac:dyDescent="0.25">
      <c r="B13" s="112" t="s">
        <v>156</v>
      </c>
      <c r="C13" s="127" t="s">
        <v>235</v>
      </c>
      <c r="D13" s="113"/>
    </row>
    <row r="14" spans="2:4" ht="15.05" x14ac:dyDescent="0.25">
      <c r="B14" s="112" t="s">
        <v>156</v>
      </c>
      <c r="C14" s="127" t="s">
        <v>236</v>
      </c>
      <c r="D14" s="113"/>
    </row>
    <row r="15" spans="2:4" ht="15.05" x14ac:dyDescent="0.25">
      <c r="B15" s="112" t="s">
        <v>156</v>
      </c>
      <c r="C15" s="127" t="s">
        <v>12</v>
      </c>
      <c r="D15" s="113"/>
    </row>
    <row r="16" spans="2:4" ht="15.05" x14ac:dyDescent="0.25">
      <c r="B16" s="112" t="s">
        <v>156</v>
      </c>
      <c r="C16" s="127" t="s">
        <v>13</v>
      </c>
      <c r="D16" s="113"/>
    </row>
    <row r="17" spans="2:4" ht="15.05" x14ac:dyDescent="0.25">
      <c r="B17" s="112" t="s">
        <v>156</v>
      </c>
      <c r="C17" s="127" t="s">
        <v>14</v>
      </c>
      <c r="D17" s="113"/>
    </row>
    <row r="18" spans="2:4" ht="15.05" x14ac:dyDescent="0.25">
      <c r="B18" s="112" t="s">
        <v>156</v>
      </c>
      <c r="C18" s="127" t="s">
        <v>15</v>
      </c>
      <c r="D18" s="113"/>
    </row>
    <row r="19" spans="2:4" ht="15.05" x14ac:dyDescent="0.25">
      <c r="B19" s="112" t="s">
        <v>156</v>
      </c>
      <c r="C19" s="127" t="s">
        <v>117</v>
      </c>
      <c r="D19" s="113"/>
    </row>
    <row r="20" spans="2:4" ht="15.05" x14ac:dyDescent="0.25">
      <c r="B20" s="112" t="s">
        <v>156</v>
      </c>
      <c r="C20" s="127" t="s">
        <v>249</v>
      </c>
      <c r="D20" s="113"/>
    </row>
    <row r="21" spans="2:4" ht="15.05" x14ac:dyDescent="0.25">
      <c r="B21" s="112" t="s">
        <v>156</v>
      </c>
      <c r="C21" s="127" t="s">
        <v>250</v>
      </c>
      <c r="D21" s="113"/>
    </row>
    <row r="22" spans="2:4" ht="15.05" x14ac:dyDescent="0.25">
      <c r="B22" s="112" t="s">
        <v>156</v>
      </c>
      <c r="C22" s="127" t="s">
        <v>251</v>
      </c>
      <c r="D22" s="113"/>
    </row>
    <row r="23" spans="2:4" ht="15.05" x14ac:dyDescent="0.25">
      <c r="B23" s="112" t="s">
        <v>156</v>
      </c>
      <c r="C23" s="127" t="s">
        <v>252</v>
      </c>
      <c r="D23" s="113"/>
    </row>
    <row r="24" spans="2:4" ht="15.05" x14ac:dyDescent="0.25">
      <c r="B24" s="112" t="s">
        <v>156</v>
      </c>
      <c r="C24" s="127" t="s">
        <v>318</v>
      </c>
      <c r="D24" s="113"/>
    </row>
    <row r="25" spans="2:4" ht="15.05" x14ac:dyDescent="0.25">
      <c r="B25" s="112" t="s">
        <v>156</v>
      </c>
      <c r="C25" s="127" t="s">
        <v>319</v>
      </c>
      <c r="D25" s="113"/>
    </row>
    <row r="26" spans="2:4" ht="15.05" x14ac:dyDescent="0.25">
      <c r="B26" s="112" t="s">
        <v>156</v>
      </c>
      <c r="C26" s="127" t="s">
        <v>320</v>
      </c>
      <c r="D26" s="113"/>
    </row>
    <row r="27" spans="2:4" ht="15.05" x14ac:dyDescent="0.25">
      <c r="B27" s="112" t="s">
        <v>156</v>
      </c>
      <c r="C27" s="127" t="s">
        <v>321</v>
      </c>
      <c r="D27" s="113"/>
    </row>
    <row r="28" spans="2:4" ht="15.05" x14ac:dyDescent="0.25">
      <c r="B28" s="112" t="s">
        <v>156</v>
      </c>
      <c r="C28" s="127" t="s">
        <v>322</v>
      </c>
      <c r="D28" s="113"/>
    </row>
    <row r="29" spans="2:4" ht="15.05" x14ac:dyDescent="0.25">
      <c r="B29" s="112" t="s">
        <v>156</v>
      </c>
      <c r="C29" s="127" t="s">
        <v>348</v>
      </c>
      <c r="D29" s="113"/>
    </row>
    <row r="30" spans="2:4" ht="15.05" x14ac:dyDescent="0.25">
      <c r="B30" s="112" t="s">
        <v>156</v>
      </c>
      <c r="C30" s="127" t="s">
        <v>349</v>
      </c>
      <c r="D30" s="113"/>
    </row>
    <row r="31" spans="2:4" ht="15.05" x14ac:dyDescent="0.25">
      <c r="B31" s="112" t="s">
        <v>324</v>
      </c>
      <c r="C31" s="127" t="s">
        <v>323</v>
      </c>
      <c r="D31" s="113"/>
    </row>
    <row r="32" spans="2:4" ht="15.05" x14ac:dyDescent="0.25">
      <c r="B32" s="112" t="s">
        <v>156</v>
      </c>
      <c r="C32" s="127" t="s">
        <v>325</v>
      </c>
      <c r="D32" s="113"/>
    </row>
    <row r="33" spans="2:4" ht="15.05" x14ac:dyDescent="0.25">
      <c r="B33" s="112" t="s">
        <v>156</v>
      </c>
      <c r="C33" s="127" t="s">
        <v>326</v>
      </c>
      <c r="D33" s="113"/>
    </row>
    <row r="34" spans="2:4" ht="15.05" x14ac:dyDescent="0.25">
      <c r="B34" s="112" t="s">
        <v>156</v>
      </c>
      <c r="C34" s="127" t="s">
        <v>327</v>
      </c>
      <c r="D34" s="113"/>
    </row>
    <row r="35" spans="2:4" ht="15.05" x14ac:dyDescent="0.25">
      <c r="B35" s="112" t="s">
        <v>156</v>
      </c>
      <c r="C35" s="127" t="s">
        <v>328</v>
      </c>
      <c r="D35" s="113"/>
    </row>
    <row r="36" spans="2:4" ht="15.05" x14ac:dyDescent="0.25">
      <c r="B36" s="112" t="s">
        <v>156</v>
      </c>
      <c r="C36" s="127" t="s">
        <v>329</v>
      </c>
      <c r="D36" s="113"/>
    </row>
    <row r="37" spans="2:4" ht="15.05" x14ac:dyDescent="0.25">
      <c r="B37" s="112" t="s">
        <v>156</v>
      </c>
      <c r="C37" s="127" t="s">
        <v>330</v>
      </c>
      <c r="D37" s="113"/>
    </row>
    <row r="38" spans="2:4" ht="15.05" x14ac:dyDescent="0.25">
      <c r="B38" s="112" t="s">
        <v>156</v>
      </c>
      <c r="C38" s="127" t="s">
        <v>331</v>
      </c>
      <c r="D38" s="113"/>
    </row>
    <row r="39" spans="2:4" ht="15.05" x14ac:dyDescent="0.25">
      <c r="B39" s="112" t="s">
        <v>156</v>
      </c>
      <c r="C39" s="127" t="s">
        <v>332</v>
      </c>
      <c r="D39" s="113"/>
    </row>
    <row r="40" spans="2:4" ht="15.05" x14ac:dyDescent="0.25">
      <c r="B40" s="112" t="s">
        <v>156</v>
      </c>
      <c r="C40" s="127" t="s">
        <v>333</v>
      </c>
      <c r="D40" s="113"/>
    </row>
    <row r="41" spans="2:4" ht="15.05" x14ac:dyDescent="0.25">
      <c r="B41" s="114" t="s">
        <v>196</v>
      </c>
      <c r="C41" s="127" t="s">
        <v>237</v>
      </c>
      <c r="D41" s="113"/>
    </row>
    <row r="42" spans="2:4" ht="15.05" x14ac:dyDescent="0.25">
      <c r="B42" s="114" t="s">
        <v>196</v>
      </c>
      <c r="C42" s="127" t="s">
        <v>238</v>
      </c>
      <c r="D42" s="113"/>
    </row>
    <row r="43" spans="2:4" ht="15.05" x14ac:dyDescent="0.25">
      <c r="B43" s="114" t="s">
        <v>196</v>
      </c>
      <c r="C43" s="127" t="s">
        <v>239</v>
      </c>
      <c r="D43" s="113"/>
    </row>
    <row r="44" spans="2:4" ht="15.05" x14ac:dyDescent="0.25">
      <c r="B44" s="114" t="s">
        <v>196</v>
      </c>
      <c r="C44" s="127" t="s">
        <v>240</v>
      </c>
      <c r="D44" s="113"/>
    </row>
    <row r="45" spans="2:4" ht="15.05" x14ac:dyDescent="0.25">
      <c r="B45" s="112" t="s">
        <v>156</v>
      </c>
      <c r="C45" s="128" t="s">
        <v>241</v>
      </c>
      <c r="D45" s="113"/>
    </row>
    <row r="46" spans="2:4" ht="15.05" x14ac:dyDescent="0.25">
      <c r="B46" s="112" t="s">
        <v>156</v>
      </c>
      <c r="C46" s="128" t="s">
        <v>243</v>
      </c>
      <c r="D46" s="113"/>
    </row>
    <row r="47" spans="2:4" ht="15.05" x14ac:dyDescent="0.25">
      <c r="B47" s="112" t="s">
        <v>156</v>
      </c>
      <c r="C47" s="128" t="s">
        <v>242</v>
      </c>
      <c r="D47" s="113"/>
    </row>
    <row r="48" spans="2:4" ht="15.05" x14ac:dyDescent="0.25">
      <c r="B48" s="112" t="s">
        <v>156</v>
      </c>
      <c r="C48" s="128" t="s">
        <v>244</v>
      </c>
      <c r="D48" s="113"/>
    </row>
    <row r="49" spans="2:4" ht="15.05" x14ac:dyDescent="0.25">
      <c r="B49" s="112" t="s">
        <v>156</v>
      </c>
      <c r="C49" s="128" t="s">
        <v>245</v>
      </c>
      <c r="D49" s="113"/>
    </row>
    <row r="50" spans="2:4" ht="15.05" x14ac:dyDescent="0.25">
      <c r="B50" s="112" t="s">
        <v>156</v>
      </c>
      <c r="C50" s="128" t="s">
        <v>246</v>
      </c>
      <c r="D50" s="113"/>
    </row>
    <row r="51" spans="2:4" ht="15.05" x14ac:dyDescent="0.25">
      <c r="B51" s="112" t="s">
        <v>156</v>
      </c>
      <c r="C51" s="128" t="s">
        <v>247</v>
      </c>
      <c r="D51" s="113"/>
    </row>
    <row r="52" spans="2:4" ht="15.05" x14ac:dyDescent="0.25">
      <c r="B52" s="112" t="s">
        <v>156</v>
      </c>
      <c r="C52" s="128" t="s">
        <v>248</v>
      </c>
      <c r="D52" s="113"/>
    </row>
    <row r="53" spans="2:4" ht="15.05" x14ac:dyDescent="0.25">
      <c r="B53" s="112" t="s">
        <v>156</v>
      </c>
      <c r="C53" s="127" t="s">
        <v>218</v>
      </c>
      <c r="D53" s="113"/>
    </row>
    <row r="54" spans="2:4" ht="15.05" x14ac:dyDescent="0.25">
      <c r="B54" s="112" t="s">
        <v>156</v>
      </c>
      <c r="C54" s="129" t="s">
        <v>16</v>
      </c>
      <c r="D54" s="113"/>
    </row>
    <row r="55" spans="2:4" ht="15.05" x14ac:dyDescent="0.25">
      <c r="B55" s="112" t="s">
        <v>156</v>
      </c>
      <c r="C55" s="130" t="s">
        <v>17</v>
      </c>
      <c r="D55" s="113"/>
    </row>
    <row r="56" spans="2:4" ht="15.05" x14ac:dyDescent="0.25">
      <c r="B56" s="112" t="s">
        <v>156</v>
      </c>
      <c r="C56" s="130" t="s">
        <v>167</v>
      </c>
      <c r="D56" s="113"/>
    </row>
    <row r="57" spans="2:4" ht="15.05" x14ac:dyDescent="0.25">
      <c r="B57" s="112" t="s">
        <v>156</v>
      </c>
      <c r="C57" s="127" t="s">
        <v>19</v>
      </c>
      <c r="D57" s="113"/>
    </row>
    <row r="58" spans="2:4" ht="15.05" x14ac:dyDescent="0.25">
      <c r="B58" s="112" t="s">
        <v>156</v>
      </c>
      <c r="C58" s="127" t="s">
        <v>350</v>
      </c>
      <c r="D58" s="113"/>
    </row>
    <row r="59" spans="2:4" ht="15.05" x14ac:dyDescent="0.25">
      <c r="B59" s="112" t="s">
        <v>156</v>
      </c>
      <c r="C59" s="127" t="s">
        <v>42</v>
      </c>
      <c r="D59" s="113"/>
    </row>
    <row r="60" spans="2:4" ht="15.05" x14ac:dyDescent="0.25">
      <c r="B60" s="112" t="s">
        <v>156</v>
      </c>
      <c r="C60" s="127" t="s">
        <v>191</v>
      </c>
      <c r="D60" s="113"/>
    </row>
    <row r="61" spans="2:4" ht="15.05" x14ac:dyDescent="0.25">
      <c r="B61" s="112" t="s">
        <v>156</v>
      </c>
      <c r="C61" s="127" t="s">
        <v>192</v>
      </c>
      <c r="D61" s="113"/>
    </row>
    <row r="62" spans="2:4" ht="15.05" x14ac:dyDescent="0.25">
      <c r="B62" s="112" t="s">
        <v>156</v>
      </c>
      <c r="C62" s="127" t="s">
        <v>211</v>
      </c>
      <c r="D62" s="113"/>
    </row>
    <row r="63" spans="2:4" ht="15.05" x14ac:dyDescent="0.25">
      <c r="B63" s="112" t="s">
        <v>156</v>
      </c>
      <c r="C63" s="127" t="s">
        <v>212</v>
      </c>
      <c r="D63" s="113"/>
    </row>
    <row r="64" spans="2:4" ht="15.05" x14ac:dyDescent="0.25">
      <c r="B64" s="112" t="s">
        <v>156</v>
      </c>
      <c r="C64" s="127" t="s">
        <v>253</v>
      </c>
      <c r="D64" s="113"/>
    </row>
    <row r="65" spans="2:4" ht="15.05" x14ac:dyDescent="0.25">
      <c r="B65" s="114" t="s">
        <v>196</v>
      </c>
      <c r="C65" s="127" t="s">
        <v>254</v>
      </c>
      <c r="D65" s="113"/>
    </row>
    <row r="66" spans="2:4" ht="15.05" x14ac:dyDescent="0.25">
      <c r="B66" s="114" t="s">
        <v>196</v>
      </c>
      <c r="C66" s="127" t="s">
        <v>255</v>
      </c>
      <c r="D66" s="113"/>
    </row>
    <row r="67" spans="2:4" ht="15.05" x14ac:dyDescent="0.25">
      <c r="B67" s="114" t="s">
        <v>196</v>
      </c>
      <c r="C67" s="127" t="s">
        <v>256</v>
      </c>
      <c r="D67" s="113"/>
    </row>
    <row r="68" spans="2:4" ht="15.05" x14ac:dyDescent="0.25">
      <c r="B68" s="114" t="s">
        <v>196</v>
      </c>
      <c r="C68" s="127" t="s">
        <v>257</v>
      </c>
      <c r="D68" s="113"/>
    </row>
    <row r="69" spans="2:4" ht="15.05" x14ac:dyDescent="0.25">
      <c r="B69" s="114" t="s">
        <v>196</v>
      </c>
      <c r="C69" s="127" t="s">
        <v>258</v>
      </c>
      <c r="D69" s="113"/>
    </row>
    <row r="70" spans="2:4" ht="15.05" x14ac:dyDescent="0.25">
      <c r="B70" s="114" t="s">
        <v>196</v>
      </c>
      <c r="C70" s="127" t="s">
        <v>259</v>
      </c>
      <c r="D70" s="113"/>
    </row>
    <row r="71" spans="2:4" ht="15.05" x14ac:dyDescent="0.25">
      <c r="B71" s="114" t="s">
        <v>196</v>
      </c>
      <c r="C71" s="127" t="s">
        <v>260</v>
      </c>
      <c r="D71" s="113"/>
    </row>
    <row r="72" spans="2:4" ht="15.05" x14ac:dyDescent="0.25">
      <c r="B72" s="114" t="s">
        <v>196</v>
      </c>
      <c r="C72" s="127" t="s">
        <v>261</v>
      </c>
      <c r="D72" s="113"/>
    </row>
    <row r="73" spans="2:4" ht="15.05" x14ac:dyDescent="0.25">
      <c r="B73" s="115" t="s">
        <v>196</v>
      </c>
      <c r="C73" s="131" t="s">
        <v>262</v>
      </c>
      <c r="D73" s="113"/>
    </row>
    <row r="74" spans="2:4" ht="15.05" x14ac:dyDescent="0.25">
      <c r="B74" s="115" t="s">
        <v>196</v>
      </c>
      <c r="C74" s="131" t="s">
        <v>277</v>
      </c>
      <c r="D74" s="113"/>
    </row>
    <row r="75" spans="2:4" ht="15.05" x14ac:dyDescent="0.25">
      <c r="B75" s="115" t="s">
        <v>196</v>
      </c>
      <c r="C75" s="127" t="s">
        <v>263</v>
      </c>
      <c r="D75" s="113"/>
    </row>
    <row r="76" spans="2:4" ht="15.05" x14ac:dyDescent="0.25">
      <c r="B76" s="115" t="s">
        <v>196</v>
      </c>
      <c r="C76" s="127" t="s">
        <v>264</v>
      </c>
      <c r="D76" s="113"/>
    </row>
    <row r="77" spans="2:4" ht="15.05" x14ac:dyDescent="0.25">
      <c r="B77" s="115" t="s">
        <v>196</v>
      </c>
      <c r="C77" s="127" t="s">
        <v>265</v>
      </c>
      <c r="D77" s="113"/>
    </row>
    <row r="78" spans="2:4" ht="15.05" x14ac:dyDescent="0.25">
      <c r="B78" s="115" t="s">
        <v>196</v>
      </c>
      <c r="C78" s="127" t="s">
        <v>266</v>
      </c>
      <c r="D78" s="113"/>
    </row>
    <row r="79" spans="2:4" ht="15.05" x14ac:dyDescent="0.25">
      <c r="B79" s="115" t="s">
        <v>196</v>
      </c>
      <c r="C79" s="127" t="s">
        <v>278</v>
      </c>
      <c r="D79" s="113"/>
    </row>
    <row r="80" spans="2:4" ht="15.05" x14ac:dyDescent="0.25">
      <c r="B80" s="115" t="s">
        <v>196</v>
      </c>
      <c r="C80" s="127" t="s">
        <v>279</v>
      </c>
      <c r="D80" s="113"/>
    </row>
    <row r="81" spans="2:4" ht="15.05" x14ac:dyDescent="0.25">
      <c r="B81" s="115" t="s">
        <v>196</v>
      </c>
      <c r="C81" s="127" t="s">
        <v>280</v>
      </c>
      <c r="D81" s="113"/>
    </row>
    <row r="82" spans="2:4" ht="15.05" x14ac:dyDescent="0.25">
      <c r="B82" s="115" t="s">
        <v>196</v>
      </c>
      <c r="C82" s="127" t="s">
        <v>281</v>
      </c>
      <c r="D82" s="113"/>
    </row>
    <row r="83" spans="2:4" ht="15.05" x14ac:dyDescent="0.25">
      <c r="B83" s="115" t="s">
        <v>196</v>
      </c>
      <c r="C83" s="127" t="s">
        <v>282</v>
      </c>
      <c r="D83" s="113"/>
    </row>
    <row r="84" spans="2:4" ht="15.05" x14ac:dyDescent="0.25">
      <c r="B84" s="115" t="s">
        <v>196</v>
      </c>
      <c r="C84" s="131" t="s">
        <v>267</v>
      </c>
      <c r="D84" s="113"/>
    </row>
    <row r="85" spans="2:4" ht="15.05" x14ac:dyDescent="0.25">
      <c r="B85" s="115" t="s">
        <v>196</v>
      </c>
      <c r="C85" s="131" t="s">
        <v>268</v>
      </c>
      <c r="D85" s="113"/>
    </row>
    <row r="86" spans="2:4" ht="15.05" x14ac:dyDescent="0.25">
      <c r="B86" s="115" t="s">
        <v>196</v>
      </c>
      <c r="C86" s="131" t="s">
        <v>269</v>
      </c>
      <c r="D86" s="113"/>
    </row>
    <row r="87" spans="2:4" ht="15.05" x14ac:dyDescent="0.25">
      <c r="B87" s="115" t="s">
        <v>196</v>
      </c>
      <c r="C87" s="131" t="s">
        <v>270</v>
      </c>
      <c r="D87" s="113"/>
    </row>
    <row r="88" spans="2:4" ht="15.05" x14ac:dyDescent="0.25">
      <c r="B88" s="115" t="s">
        <v>196</v>
      </c>
      <c r="C88" s="131" t="s">
        <v>271</v>
      </c>
      <c r="D88" s="113"/>
    </row>
    <row r="89" spans="2:4" ht="15.05" x14ac:dyDescent="0.25">
      <c r="B89" s="115" t="s">
        <v>196</v>
      </c>
      <c r="C89" s="131" t="s">
        <v>272</v>
      </c>
      <c r="D89" s="113"/>
    </row>
    <row r="90" spans="2:4" ht="15.05" x14ac:dyDescent="0.25">
      <c r="B90" s="115" t="s">
        <v>196</v>
      </c>
      <c r="C90" s="131" t="s">
        <v>273</v>
      </c>
      <c r="D90" s="113"/>
    </row>
    <row r="91" spans="2:4" ht="15.05" x14ac:dyDescent="0.25">
      <c r="B91" s="115" t="s">
        <v>196</v>
      </c>
      <c r="C91" s="131" t="s">
        <v>274</v>
      </c>
      <c r="D91" s="113"/>
    </row>
    <row r="92" spans="2:4" ht="15.05" x14ac:dyDescent="0.25">
      <c r="B92" s="115" t="s">
        <v>196</v>
      </c>
      <c r="C92" s="131" t="s">
        <v>275</v>
      </c>
      <c r="D92" s="113"/>
    </row>
    <row r="93" spans="2:4" ht="15.05" x14ac:dyDescent="0.25">
      <c r="B93" s="115" t="s">
        <v>196</v>
      </c>
      <c r="C93" s="131" t="s">
        <v>283</v>
      </c>
      <c r="D93" s="113"/>
    </row>
    <row r="94" spans="2:4" ht="15.05" x14ac:dyDescent="0.25">
      <c r="B94" s="116" t="s">
        <v>196</v>
      </c>
      <c r="C94" s="129" t="s">
        <v>284</v>
      </c>
      <c r="D94" s="113"/>
    </row>
    <row r="95" spans="2:4" ht="15.05" x14ac:dyDescent="0.25">
      <c r="B95" s="117" t="s">
        <v>196</v>
      </c>
      <c r="C95" s="132" t="s">
        <v>276</v>
      </c>
      <c r="D95" s="113"/>
    </row>
    <row r="96" spans="2:4" ht="15.05" x14ac:dyDescent="0.25">
      <c r="B96" s="117" t="s">
        <v>196</v>
      </c>
      <c r="C96" s="132" t="s">
        <v>285</v>
      </c>
      <c r="D96" s="113"/>
    </row>
    <row r="97" spans="2:4" ht="15.05" x14ac:dyDescent="0.25">
      <c r="B97" s="117" t="s">
        <v>196</v>
      </c>
      <c r="C97" s="132" t="s">
        <v>286</v>
      </c>
      <c r="D97" s="113"/>
    </row>
    <row r="98" spans="2:4" ht="15.05" x14ac:dyDescent="0.25">
      <c r="B98" s="117" t="s">
        <v>196</v>
      </c>
      <c r="C98" s="129" t="s">
        <v>290</v>
      </c>
      <c r="D98" s="113"/>
    </row>
    <row r="99" spans="2:4" ht="15.05" x14ac:dyDescent="0.25">
      <c r="B99" s="117" t="s">
        <v>196</v>
      </c>
      <c r="C99" s="132" t="s">
        <v>287</v>
      </c>
      <c r="D99" s="113"/>
    </row>
    <row r="100" spans="2:4" ht="15.05" x14ac:dyDescent="0.25">
      <c r="B100" s="117" t="s">
        <v>196</v>
      </c>
      <c r="C100" s="132" t="s">
        <v>289</v>
      </c>
      <c r="D100" s="113"/>
    </row>
    <row r="101" spans="2:4" ht="15.05" x14ac:dyDescent="0.25">
      <c r="B101" s="117" t="s">
        <v>196</v>
      </c>
      <c r="C101" s="132" t="s">
        <v>288</v>
      </c>
      <c r="D101" s="113"/>
    </row>
    <row r="102" spans="2:4" ht="15.05" x14ac:dyDescent="0.25">
      <c r="B102" s="117" t="s">
        <v>196</v>
      </c>
      <c r="C102" s="132" t="s">
        <v>291</v>
      </c>
      <c r="D102" s="113"/>
    </row>
    <row r="103" spans="2:4" ht="15.05" x14ac:dyDescent="0.25">
      <c r="B103" s="117" t="s">
        <v>196</v>
      </c>
      <c r="C103" s="132" t="s">
        <v>292</v>
      </c>
      <c r="D103" s="113"/>
    </row>
    <row r="104" spans="2:4" ht="15.05" x14ac:dyDescent="0.25">
      <c r="B104" s="117" t="s">
        <v>196</v>
      </c>
      <c r="C104" s="132" t="s">
        <v>293</v>
      </c>
      <c r="D104" s="113"/>
    </row>
    <row r="105" spans="2:4" ht="15.05" x14ac:dyDescent="0.25">
      <c r="B105" s="117" t="s">
        <v>196</v>
      </c>
      <c r="C105" s="132" t="s">
        <v>294</v>
      </c>
      <c r="D105" s="113"/>
    </row>
    <row r="106" spans="2:4" ht="15.05" x14ac:dyDescent="0.25">
      <c r="B106" s="118" t="s">
        <v>196</v>
      </c>
      <c r="C106" s="129" t="s">
        <v>209</v>
      </c>
      <c r="D106" s="113"/>
    </row>
    <row r="107" spans="2:4" ht="15.05" x14ac:dyDescent="0.25">
      <c r="B107" s="119" t="s">
        <v>196</v>
      </c>
      <c r="C107" s="129" t="s">
        <v>295</v>
      </c>
      <c r="D107" s="113"/>
    </row>
    <row r="108" spans="2:4" ht="15.05" x14ac:dyDescent="0.25">
      <c r="B108" s="119" t="s">
        <v>196</v>
      </c>
      <c r="C108" s="129" t="s">
        <v>210</v>
      </c>
      <c r="D108" s="113"/>
    </row>
    <row r="109" spans="2:4" ht="15.05" x14ac:dyDescent="0.25">
      <c r="B109" s="119" t="s">
        <v>196</v>
      </c>
      <c r="C109" s="127" t="s">
        <v>185</v>
      </c>
      <c r="D109" s="113"/>
    </row>
    <row r="110" spans="2:4" ht="15.05" x14ac:dyDescent="0.25">
      <c r="B110" s="112" t="s">
        <v>156</v>
      </c>
      <c r="C110" s="127" t="s">
        <v>213</v>
      </c>
      <c r="D110" s="113"/>
    </row>
    <row r="111" spans="2:4" ht="15.05" x14ac:dyDescent="0.25">
      <c r="B111" s="120" t="s">
        <v>156</v>
      </c>
      <c r="C111" s="128" t="s">
        <v>200</v>
      </c>
      <c r="D111" s="113"/>
    </row>
    <row r="112" spans="2:4" ht="15.05" x14ac:dyDescent="0.25">
      <c r="B112" s="121" t="s">
        <v>219</v>
      </c>
      <c r="C112" s="133" t="s">
        <v>220</v>
      </c>
      <c r="D112" s="113"/>
    </row>
    <row r="113" spans="2:4" ht="15.05" x14ac:dyDescent="0.25">
      <c r="B113" s="122" t="s">
        <v>196</v>
      </c>
      <c r="C113" s="127" t="s">
        <v>169</v>
      </c>
      <c r="D113" s="113"/>
    </row>
    <row r="114" spans="2:4" ht="15.05" x14ac:dyDescent="0.25">
      <c r="B114" s="122" t="s">
        <v>196</v>
      </c>
      <c r="C114" s="127" t="s">
        <v>296</v>
      </c>
      <c r="D114" s="113"/>
    </row>
    <row r="115" spans="2:4" ht="15.05" x14ac:dyDescent="0.25">
      <c r="B115" s="112" t="s">
        <v>156</v>
      </c>
      <c r="C115" s="127" t="s">
        <v>302</v>
      </c>
      <c r="D115" s="113"/>
    </row>
    <row r="116" spans="2:4" ht="15.05" x14ac:dyDescent="0.25">
      <c r="B116" s="112" t="s">
        <v>156</v>
      </c>
      <c r="C116" s="127" t="s">
        <v>313</v>
      </c>
      <c r="D116" s="113"/>
    </row>
    <row r="117" spans="2:4" ht="15.05" x14ac:dyDescent="0.25">
      <c r="B117" s="112" t="s">
        <v>156</v>
      </c>
      <c r="C117" s="127" t="s">
        <v>303</v>
      </c>
      <c r="D117" s="113"/>
    </row>
    <row r="118" spans="2:4" ht="15.05" x14ac:dyDescent="0.25">
      <c r="B118" s="112" t="s">
        <v>156</v>
      </c>
      <c r="C118" s="127" t="s">
        <v>304</v>
      </c>
      <c r="D118" s="113"/>
    </row>
    <row r="119" spans="2:4" ht="15.05" x14ac:dyDescent="0.25">
      <c r="B119" s="112" t="s">
        <v>156</v>
      </c>
      <c r="C119" s="127" t="s">
        <v>305</v>
      </c>
      <c r="D119" s="113"/>
    </row>
    <row r="120" spans="2:4" ht="15.05" x14ac:dyDescent="0.25">
      <c r="B120" s="112" t="s">
        <v>156</v>
      </c>
      <c r="C120" s="127" t="s">
        <v>306</v>
      </c>
      <c r="D120" s="113"/>
    </row>
    <row r="121" spans="2:4" ht="15.05" x14ac:dyDescent="0.25">
      <c r="B121" s="112" t="s">
        <v>156</v>
      </c>
      <c r="C121" s="127" t="s">
        <v>307</v>
      </c>
      <c r="D121" s="113"/>
    </row>
    <row r="122" spans="2:4" ht="15.05" x14ac:dyDescent="0.25">
      <c r="B122" s="112" t="s">
        <v>156</v>
      </c>
      <c r="C122" s="127" t="s">
        <v>308</v>
      </c>
      <c r="D122" s="113"/>
    </row>
    <row r="123" spans="2:4" ht="15.05" x14ac:dyDescent="0.25">
      <c r="B123" s="112" t="s">
        <v>156</v>
      </c>
      <c r="C123" s="127" t="s">
        <v>309</v>
      </c>
      <c r="D123" s="113"/>
    </row>
    <row r="124" spans="2:4" ht="15.05" x14ac:dyDescent="0.25">
      <c r="B124" s="112" t="s">
        <v>156</v>
      </c>
      <c r="C124" s="127" t="s">
        <v>310</v>
      </c>
      <c r="D124" s="113"/>
    </row>
    <row r="125" spans="2:4" ht="15.05" x14ac:dyDescent="0.25">
      <c r="B125" s="112" t="s">
        <v>156</v>
      </c>
      <c r="C125" s="127" t="s">
        <v>311</v>
      </c>
      <c r="D125" s="113"/>
    </row>
    <row r="126" spans="2:4" ht="15.05" x14ac:dyDescent="0.25">
      <c r="B126" s="112" t="s">
        <v>156</v>
      </c>
      <c r="C126" s="127" t="s">
        <v>312</v>
      </c>
      <c r="D126" s="113"/>
    </row>
    <row r="127" spans="2:4" ht="15.05" x14ac:dyDescent="0.25">
      <c r="B127" s="121" t="s">
        <v>156</v>
      </c>
      <c r="C127" s="133" t="s">
        <v>202</v>
      </c>
      <c r="D127" s="113"/>
    </row>
    <row r="128" spans="2:4" ht="15.05" x14ac:dyDescent="0.25">
      <c r="B128" s="121" t="s">
        <v>156</v>
      </c>
      <c r="C128" s="133" t="s">
        <v>314</v>
      </c>
      <c r="D128" s="113"/>
    </row>
    <row r="129" spans="2:4" ht="15.05" x14ac:dyDescent="0.25">
      <c r="B129" s="121" t="s">
        <v>156</v>
      </c>
      <c r="C129" s="133" t="s">
        <v>315</v>
      </c>
      <c r="D129" s="113"/>
    </row>
    <row r="130" spans="2:4" ht="15.05" x14ac:dyDescent="0.25">
      <c r="B130" s="121" t="s">
        <v>156</v>
      </c>
      <c r="C130" s="133" t="s">
        <v>316</v>
      </c>
      <c r="D130" s="113"/>
    </row>
    <row r="131" spans="2:4" ht="15.05" x14ac:dyDescent="0.25">
      <c r="B131" s="121" t="s">
        <v>219</v>
      </c>
      <c r="C131" s="133" t="s">
        <v>297</v>
      </c>
      <c r="D131" s="113"/>
    </row>
    <row r="132" spans="2:4" ht="15.05" x14ac:dyDescent="0.25">
      <c r="B132" s="121" t="s">
        <v>219</v>
      </c>
      <c r="C132" s="133" t="s">
        <v>298</v>
      </c>
      <c r="D132" s="113"/>
    </row>
    <row r="133" spans="2:4" ht="15.05" x14ac:dyDescent="0.25">
      <c r="B133" s="121" t="s">
        <v>219</v>
      </c>
      <c r="C133" s="133" t="s">
        <v>299</v>
      </c>
      <c r="D133" s="113"/>
    </row>
    <row r="134" spans="2:4" ht="15.05" x14ac:dyDescent="0.25">
      <c r="B134" s="121" t="s">
        <v>219</v>
      </c>
      <c r="C134" s="133" t="s">
        <v>300</v>
      </c>
      <c r="D134" s="113"/>
    </row>
    <row r="135" spans="2:4" ht="15.05" x14ac:dyDescent="0.25">
      <c r="B135" s="121" t="s">
        <v>219</v>
      </c>
      <c r="C135" s="133" t="s">
        <v>301</v>
      </c>
      <c r="D135" s="113"/>
    </row>
    <row r="136" spans="2:4" ht="15.05" x14ac:dyDescent="0.25">
      <c r="B136" s="123" t="s">
        <v>219</v>
      </c>
      <c r="C136" s="133" t="s">
        <v>223</v>
      </c>
      <c r="D136" s="113"/>
    </row>
    <row r="137" spans="2:4" ht="15.05" x14ac:dyDescent="0.25">
      <c r="B137" s="123" t="s">
        <v>219</v>
      </c>
      <c r="C137" s="133" t="s">
        <v>355</v>
      </c>
      <c r="D137" s="113"/>
    </row>
    <row r="138" spans="2:4" ht="15.05" x14ac:dyDescent="0.25">
      <c r="B138" s="123" t="s">
        <v>219</v>
      </c>
      <c r="C138" s="133" t="s">
        <v>356</v>
      </c>
      <c r="D138" s="113"/>
    </row>
    <row r="139" spans="2:4" ht="15.05" x14ac:dyDescent="0.25">
      <c r="B139" s="123" t="s">
        <v>219</v>
      </c>
      <c r="C139" s="133" t="s">
        <v>334</v>
      </c>
      <c r="D139" s="113"/>
    </row>
    <row r="140" spans="2:4" ht="15.05" x14ac:dyDescent="0.25">
      <c r="B140" s="123" t="s">
        <v>219</v>
      </c>
      <c r="C140" s="133" t="s">
        <v>334</v>
      </c>
      <c r="D140" s="113"/>
    </row>
    <row r="141" spans="2:4" ht="15.05" x14ac:dyDescent="0.25">
      <c r="B141" s="123" t="s">
        <v>219</v>
      </c>
      <c r="C141" s="133" t="s">
        <v>334</v>
      </c>
      <c r="D141" s="113"/>
    </row>
    <row r="142" spans="2:4" ht="15.05" x14ac:dyDescent="0.25">
      <c r="B142" s="123" t="s">
        <v>219</v>
      </c>
      <c r="C142" s="133" t="s">
        <v>335</v>
      </c>
      <c r="D142" s="113"/>
    </row>
    <row r="143" spans="2:4" ht="15.05" x14ac:dyDescent="0.25">
      <c r="B143" s="123" t="s">
        <v>219</v>
      </c>
      <c r="C143" s="133" t="s">
        <v>336</v>
      </c>
      <c r="D143" s="113"/>
    </row>
    <row r="144" spans="2:4" ht="15.05" x14ac:dyDescent="0.25">
      <c r="B144" s="123" t="s">
        <v>219</v>
      </c>
      <c r="C144" s="133" t="s">
        <v>337</v>
      </c>
      <c r="D144" s="113"/>
    </row>
    <row r="145" spans="2:4" ht="15.05" x14ac:dyDescent="0.25">
      <c r="B145" s="123" t="s">
        <v>219</v>
      </c>
      <c r="C145" s="133" t="s">
        <v>338</v>
      </c>
      <c r="D145" s="113"/>
    </row>
    <row r="146" spans="2:4" ht="15.05" x14ac:dyDescent="0.25">
      <c r="B146" s="123" t="s">
        <v>219</v>
      </c>
      <c r="C146" s="133" t="s">
        <v>339</v>
      </c>
      <c r="D146" s="113"/>
    </row>
    <row r="147" spans="2:4" ht="15.05" x14ac:dyDescent="0.25">
      <c r="B147" s="123" t="s">
        <v>219</v>
      </c>
      <c r="C147" s="133" t="s">
        <v>340</v>
      </c>
      <c r="D147" s="113"/>
    </row>
    <row r="148" spans="2:4" ht="15.05" x14ac:dyDescent="0.25">
      <c r="B148" s="123" t="s">
        <v>219</v>
      </c>
      <c r="C148" s="133" t="s">
        <v>341</v>
      </c>
      <c r="D148" s="113"/>
    </row>
    <row r="149" spans="2:4" ht="15.05" x14ac:dyDescent="0.25">
      <c r="B149" s="124" t="s">
        <v>219</v>
      </c>
      <c r="C149" s="134" t="s">
        <v>351</v>
      </c>
      <c r="D149" s="113"/>
    </row>
    <row r="150" spans="2:4" ht="15.05" x14ac:dyDescent="0.25">
      <c r="B150" s="124" t="s">
        <v>156</v>
      </c>
      <c r="C150" s="134" t="s">
        <v>352</v>
      </c>
      <c r="D150" s="113"/>
    </row>
    <row r="151" spans="2:4" ht="15.05" x14ac:dyDescent="0.25">
      <c r="B151" s="124" t="s">
        <v>156</v>
      </c>
      <c r="C151" s="134" t="s">
        <v>354</v>
      </c>
      <c r="D151" s="113"/>
    </row>
    <row r="152" spans="2:4" ht="15.05" x14ac:dyDescent="0.25">
      <c r="B152" s="124" t="s">
        <v>219</v>
      </c>
      <c r="C152" s="134" t="s">
        <v>353</v>
      </c>
      <c r="D152" s="113"/>
    </row>
    <row r="153" spans="2:4" ht="28.8" x14ac:dyDescent="0.25">
      <c r="B153" s="126" t="s">
        <v>156</v>
      </c>
      <c r="C153" s="135" t="s">
        <v>357</v>
      </c>
      <c r="D153" s="125"/>
    </row>
  </sheetData>
  <printOptions gridLines="1"/>
  <pageMargins left="0.70866141732283472" right="0.70866141732283472" top="0.74803149606299213" bottom="0.74803149606299213" header="0.31496062992125984" footer="0.31496062992125984"/>
  <pageSetup fitToWidth="0" orientation="portrait" horizontalDpi="4294967294"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02"/>
  <sheetViews>
    <sheetView workbookViewId="0">
      <selection activeCell="C58" sqref="C58"/>
    </sheetView>
  </sheetViews>
  <sheetFormatPr baseColWidth="10" defaultRowHeight="12.55" x14ac:dyDescent="0.2"/>
  <cols>
    <col min="1" max="1" width="22" customWidth="1"/>
    <col min="2" max="2" width="52.6640625" customWidth="1"/>
    <col min="3" max="3" width="16.33203125" customWidth="1"/>
    <col min="4" max="4" width="14.109375" customWidth="1"/>
    <col min="5" max="5" width="22" customWidth="1"/>
    <col min="6" max="6" width="20.33203125" customWidth="1"/>
  </cols>
  <sheetData>
    <row r="2" spans="1:6" ht="32.6" x14ac:dyDescent="0.5">
      <c r="A2" s="151" t="s">
        <v>0</v>
      </c>
      <c r="B2" s="151"/>
      <c r="C2" s="151"/>
      <c r="D2" s="151"/>
      <c r="E2" s="151"/>
      <c r="F2" s="151"/>
    </row>
    <row r="4" spans="1:6" x14ac:dyDescent="0.2">
      <c r="A4" s="152"/>
      <c r="B4" s="152"/>
      <c r="C4" s="152"/>
      <c r="D4" s="152"/>
      <c r="E4" s="152"/>
      <c r="F4" s="152"/>
    </row>
    <row r="5" spans="1:6" x14ac:dyDescent="0.2">
      <c r="A5" s="3"/>
      <c r="B5" s="3"/>
      <c r="C5" s="3"/>
      <c r="D5" s="3"/>
      <c r="E5" s="15"/>
      <c r="F5" s="31" t="s">
        <v>1</v>
      </c>
    </row>
    <row r="7" spans="1:6" x14ac:dyDescent="0.2">
      <c r="A7" s="37" t="s">
        <v>2</v>
      </c>
      <c r="B7" s="38" t="s">
        <v>3</v>
      </c>
      <c r="C7" s="38" t="s">
        <v>121</v>
      </c>
    </row>
    <row r="8" spans="1:6" x14ac:dyDescent="0.2">
      <c r="A8" s="35"/>
      <c r="B8" s="32" t="s">
        <v>4</v>
      </c>
      <c r="C8" s="43">
        <v>1.55</v>
      </c>
    </row>
    <row r="9" spans="1:6" x14ac:dyDescent="0.2">
      <c r="A9" s="36"/>
      <c r="B9" s="34" t="s">
        <v>5</v>
      </c>
      <c r="C9" s="44">
        <v>1.4</v>
      </c>
    </row>
    <row r="10" spans="1:6" x14ac:dyDescent="0.2">
      <c r="A10" s="35"/>
      <c r="B10" s="32" t="s">
        <v>6</v>
      </c>
      <c r="C10" s="43">
        <v>0.85</v>
      </c>
    </row>
    <row r="11" spans="1:6" x14ac:dyDescent="0.2">
      <c r="A11" s="36"/>
      <c r="B11" s="34" t="s">
        <v>63</v>
      </c>
      <c r="C11" s="43">
        <v>0.85</v>
      </c>
    </row>
    <row r="12" spans="1:6" x14ac:dyDescent="0.2">
      <c r="A12" s="35"/>
      <c r="B12" s="32" t="s">
        <v>64</v>
      </c>
      <c r="C12" s="43">
        <v>0.85</v>
      </c>
    </row>
    <row r="13" spans="1:6" x14ac:dyDescent="0.2">
      <c r="A13" s="36"/>
      <c r="B13" s="34" t="s">
        <v>65</v>
      </c>
      <c r="C13" s="43">
        <v>0.85</v>
      </c>
    </row>
    <row r="14" spans="1:6" x14ac:dyDescent="0.2">
      <c r="A14" s="35"/>
      <c r="B14" s="32" t="s">
        <v>66</v>
      </c>
      <c r="C14" s="43">
        <v>0.85</v>
      </c>
    </row>
    <row r="15" spans="1:6" x14ac:dyDescent="0.2">
      <c r="A15" s="36"/>
      <c r="B15" s="34" t="s">
        <v>67</v>
      </c>
      <c r="C15" s="43">
        <v>0.85</v>
      </c>
    </row>
    <row r="16" spans="1:6" x14ac:dyDescent="0.2">
      <c r="A16" s="35"/>
      <c r="B16" s="32" t="s">
        <v>68</v>
      </c>
      <c r="C16" s="43">
        <v>0.85</v>
      </c>
    </row>
    <row r="17" spans="1:3" x14ac:dyDescent="0.2">
      <c r="A17" s="36"/>
      <c r="B17" s="34" t="s">
        <v>69</v>
      </c>
      <c r="C17" s="43">
        <v>0.85</v>
      </c>
    </row>
    <row r="18" spans="1:3" x14ac:dyDescent="0.2">
      <c r="A18" s="35"/>
      <c r="B18" s="32" t="s">
        <v>70</v>
      </c>
      <c r="C18" s="43">
        <v>0.85</v>
      </c>
    </row>
    <row r="19" spans="1:3" x14ac:dyDescent="0.2">
      <c r="A19" s="36"/>
      <c r="B19" s="34" t="s">
        <v>71</v>
      </c>
      <c r="C19" s="43">
        <v>0.85</v>
      </c>
    </row>
    <row r="20" spans="1:3" x14ac:dyDescent="0.2">
      <c r="A20" s="35"/>
      <c r="B20" s="32" t="s">
        <v>7</v>
      </c>
      <c r="C20" s="43"/>
    </row>
    <row r="21" spans="1:3" x14ac:dyDescent="0.2">
      <c r="A21" s="36"/>
      <c r="B21" s="34" t="s">
        <v>8</v>
      </c>
      <c r="C21" s="44"/>
    </row>
    <row r="22" spans="1:3" x14ac:dyDescent="0.2">
      <c r="A22" s="35"/>
      <c r="B22" s="32" t="s">
        <v>12</v>
      </c>
      <c r="C22" s="43"/>
    </row>
    <row r="23" spans="1:3" x14ac:dyDescent="0.2">
      <c r="A23" s="36"/>
      <c r="B23" s="34" t="s">
        <v>13</v>
      </c>
      <c r="C23" s="44"/>
    </row>
    <row r="24" spans="1:3" x14ac:dyDescent="0.2">
      <c r="A24" s="35"/>
      <c r="B24" s="32" t="s">
        <v>14</v>
      </c>
      <c r="C24" s="43"/>
    </row>
    <row r="25" spans="1:3" x14ac:dyDescent="0.2">
      <c r="A25" s="36"/>
      <c r="B25" s="34" t="s">
        <v>15</v>
      </c>
      <c r="C25" s="44"/>
    </row>
    <row r="26" spans="1:3" x14ac:dyDescent="0.2">
      <c r="A26" s="35"/>
      <c r="B26" s="32" t="s">
        <v>9</v>
      </c>
      <c r="C26" s="43"/>
    </row>
    <row r="27" spans="1:3" x14ac:dyDescent="0.2">
      <c r="A27" s="36"/>
      <c r="B27" s="34" t="s">
        <v>10</v>
      </c>
      <c r="C27" s="44"/>
    </row>
    <row r="28" spans="1:3" x14ac:dyDescent="0.2">
      <c r="A28" s="35"/>
      <c r="B28" s="32" t="s">
        <v>16</v>
      </c>
      <c r="C28" s="43">
        <v>6</v>
      </c>
    </row>
    <row r="29" spans="1:3" x14ac:dyDescent="0.2">
      <c r="A29" s="36"/>
      <c r="B29" s="34" t="s">
        <v>17</v>
      </c>
      <c r="C29" s="43">
        <v>6</v>
      </c>
    </row>
    <row r="30" spans="1:3" x14ac:dyDescent="0.2">
      <c r="A30" s="35"/>
      <c r="B30" s="32" t="s">
        <v>18</v>
      </c>
      <c r="C30" s="43">
        <v>6</v>
      </c>
    </row>
    <row r="31" spans="1:3" x14ac:dyDescent="0.2">
      <c r="A31" s="36"/>
      <c r="B31" s="34" t="s">
        <v>19</v>
      </c>
      <c r="C31" s="43">
        <v>6</v>
      </c>
    </row>
    <row r="32" spans="1:3" x14ac:dyDescent="0.2">
      <c r="A32" s="35"/>
      <c r="B32" s="32" t="s">
        <v>11</v>
      </c>
      <c r="C32" s="43"/>
    </row>
    <row r="33" spans="1:3" x14ac:dyDescent="0.2">
      <c r="A33" s="36"/>
      <c r="B33" s="34" t="s">
        <v>20</v>
      </c>
      <c r="C33" s="43">
        <v>1.5</v>
      </c>
    </row>
    <row r="34" spans="1:3" x14ac:dyDescent="0.2">
      <c r="A34" s="35"/>
      <c r="B34" s="32" t="s">
        <v>21</v>
      </c>
      <c r="C34" s="43">
        <v>1.5</v>
      </c>
    </row>
    <row r="35" spans="1:3" x14ac:dyDescent="0.2">
      <c r="A35" s="36"/>
      <c r="B35" s="34" t="s">
        <v>22</v>
      </c>
      <c r="C35" s="43">
        <v>1.5</v>
      </c>
    </row>
    <row r="36" spans="1:3" x14ac:dyDescent="0.2">
      <c r="A36" s="35"/>
      <c r="B36" s="32" t="s">
        <v>23</v>
      </c>
      <c r="C36" s="43">
        <v>1.5</v>
      </c>
    </row>
    <row r="37" spans="1:3" x14ac:dyDescent="0.2">
      <c r="A37" s="36"/>
      <c r="B37" s="34" t="s">
        <v>24</v>
      </c>
      <c r="C37" s="43">
        <v>1.5</v>
      </c>
    </row>
    <row r="38" spans="1:3" x14ac:dyDescent="0.2">
      <c r="A38" s="35"/>
      <c r="B38" s="32" t="s">
        <v>25</v>
      </c>
      <c r="C38" s="43">
        <v>1.5</v>
      </c>
    </row>
    <row r="39" spans="1:3" x14ac:dyDescent="0.2">
      <c r="A39" s="36"/>
      <c r="B39" s="33" t="s">
        <v>26</v>
      </c>
      <c r="C39" s="43">
        <v>1.5</v>
      </c>
    </row>
    <row r="40" spans="1:3" x14ac:dyDescent="0.2">
      <c r="A40" s="35"/>
      <c r="B40" s="32" t="s">
        <v>27</v>
      </c>
      <c r="C40" s="43">
        <v>1.5</v>
      </c>
    </row>
    <row r="41" spans="1:3" x14ac:dyDescent="0.2">
      <c r="A41" s="36"/>
      <c r="B41" s="33" t="s">
        <v>28</v>
      </c>
      <c r="C41" s="43">
        <v>1.5</v>
      </c>
    </row>
    <row r="42" spans="1:3" x14ac:dyDescent="0.2">
      <c r="A42" s="35"/>
      <c r="B42" s="32" t="s">
        <v>29</v>
      </c>
      <c r="C42" s="43">
        <v>1.5</v>
      </c>
    </row>
    <row r="43" spans="1:3" x14ac:dyDescent="0.2">
      <c r="A43" s="36"/>
      <c r="B43" s="34" t="s">
        <v>30</v>
      </c>
      <c r="C43" s="43">
        <v>1.5</v>
      </c>
    </row>
    <row r="44" spans="1:3" x14ac:dyDescent="0.2">
      <c r="A44" s="35"/>
      <c r="B44" s="32" t="s">
        <v>31</v>
      </c>
      <c r="C44" s="43">
        <v>1.5</v>
      </c>
    </row>
    <row r="45" spans="1:3" x14ac:dyDescent="0.2">
      <c r="A45" s="36"/>
      <c r="B45" s="34" t="s">
        <v>32</v>
      </c>
      <c r="C45" s="43">
        <v>1.5</v>
      </c>
    </row>
    <row r="46" spans="1:3" x14ac:dyDescent="0.2">
      <c r="A46" s="35"/>
      <c r="B46" s="32" t="s">
        <v>33</v>
      </c>
      <c r="C46" s="43">
        <v>1.5</v>
      </c>
    </row>
    <row r="47" spans="1:3" x14ac:dyDescent="0.2">
      <c r="A47" s="36"/>
      <c r="B47" s="34" t="s">
        <v>34</v>
      </c>
      <c r="C47" s="43">
        <v>1.5</v>
      </c>
    </row>
    <row r="48" spans="1:3" x14ac:dyDescent="0.2">
      <c r="A48" s="35"/>
      <c r="B48" s="32" t="s">
        <v>35</v>
      </c>
      <c r="C48" s="43">
        <v>1.5</v>
      </c>
    </row>
    <row r="49" spans="1:3" x14ac:dyDescent="0.2">
      <c r="A49" s="36"/>
      <c r="B49" s="34" t="s">
        <v>36</v>
      </c>
      <c r="C49" s="43">
        <v>1.5</v>
      </c>
    </row>
    <row r="50" spans="1:3" x14ac:dyDescent="0.2">
      <c r="A50" s="35"/>
      <c r="B50" s="32" t="s">
        <v>37</v>
      </c>
      <c r="C50" s="43"/>
    </row>
    <row r="51" spans="1:3" x14ac:dyDescent="0.2">
      <c r="A51" s="36"/>
      <c r="B51" s="34" t="s">
        <v>38</v>
      </c>
      <c r="C51" s="44"/>
    </row>
    <row r="52" spans="1:3" x14ac:dyDescent="0.2">
      <c r="A52" s="35"/>
      <c r="B52" s="32" t="s">
        <v>39</v>
      </c>
      <c r="C52" s="43"/>
    </row>
    <row r="53" spans="1:3" x14ac:dyDescent="0.2">
      <c r="A53" s="36"/>
      <c r="B53" s="34" t="s">
        <v>40</v>
      </c>
      <c r="C53" s="44"/>
    </row>
    <row r="54" spans="1:3" x14ac:dyDescent="0.2">
      <c r="A54" s="35"/>
      <c r="B54" s="32" t="s">
        <v>41</v>
      </c>
      <c r="C54" s="43"/>
    </row>
    <row r="55" spans="1:3" x14ac:dyDescent="0.2">
      <c r="A55" s="36"/>
      <c r="B55" s="34" t="s">
        <v>42</v>
      </c>
      <c r="C55" s="44">
        <v>0.75</v>
      </c>
    </row>
    <row r="56" spans="1:3" x14ac:dyDescent="0.2">
      <c r="A56" s="35"/>
      <c r="B56" s="32" t="s">
        <v>43</v>
      </c>
      <c r="C56" s="43">
        <v>0.9</v>
      </c>
    </row>
    <row r="57" spans="1:3" x14ac:dyDescent="0.2">
      <c r="A57" s="36"/>
      <c r="B57" s="34" t="s">
        <v>44</v>
      </c>
      <c r="C57" s="44">
        <v>1</v>
      </c>
    </row>
    <row r="58" spans="1:3" x14ac:dyDescent="0.2">
      <c r="A58" s="35"/>
      <c r="B58" s="32" t="s">
        <v>50</v>
      </c>
      <c r="C58" s="43"/>
    </row>
    <row r="59" spans="1:3" x14ac:dyDescent="0.2">
      <c r="A59" s="36"/>
      <c r="B59" s="34" t="s">
        <v>51</v>
      </c>
      <c r="C59" s="44"/>
    </row>
    <row r="60" spans="1:3" x14ac:dyDescent="0.2">
      <c r="A60" s="35"/>
      <c r="B60" s="32" t="s">
        <v>52</v>
      </c>
      <c r="C60" s="43"/>
    </row>
    <row r="61" spans="1:3" x14ac:dyDescent="0.2">
      <c r="A61" s="36"/>
      <c r="B61" s="34" t="s">
        <v>45</v>
      </c>
      <c r="C61" s="44"/>
    </row>
    <row r="62" spans="1:3" x14ac:dyDescent="0.2">
      <c r="A62" s="35"/>
      <c r="B62" s="32" t="s">
        <v>46</v>
      </c>
      <c r="C62" s="43"/>
    </row>
    <row r="63" spans="1:3" x14ac:dyDescent="0.2">
      <c r="A63" s="36"/>
      <c r="B63" s="34" t="s">
        <v>47</v>
      </c>
      <c r="C63" s="44"/>
    </row>
    <row r="64" spans="1:3" x14ac:dyDescent="0.2">
      <c r="A64" s="35"/>
      <c r="B64" s="32" t="s">
        <v>48</v>
      </c>
      <c r="C64" s="43"/>
    </row>
    <row r="65" spans="1:3" x14ac:dyDescent="0.2">
      <c r="A65" s="36"/>
      <c r="B65" s="34" t="s">
        <v>49</v>
      </c>
      <c r="C65" s="44"/>
    </row>
    <row r="66" spans="1:3" x14ac:dyDescent="0.2">
      <c r="A66" s="35"/>
      <c r="B66" s="32" t="s">
        <v>53</v>
      </c>
      <c r="C66" s="43"/>
    </row>
    <row r="67" spans="1:3" x14ac:dyDescent="0.2">
      <c r="A67" s="36"/>
      <c r="B67" s="34" t="s">
        <v>54</v>
      </c>
      <c r="C67" s="44"/>
    </row>
    <row r="68" spans="1:3" x14ac:dyDescent="0.2">
      <c r="A68" s="35"/>
      <c r="B68" s="32" t="s">
        <v>55</v>
      </c>
      <c r="C68" s="43"/>
    </row>
    <row r="69" spans="1:3" x14ac:dyDescent="0.2">
      <c r="A69" s="36"/>
      <c r="B69" s="34" t="s">
        <v>56</v>
      </c>
      <c r="C69" s="44"/>
    </row>
    <row r="70" spans="1:3" x14ac:dyDescent="0.2">
      <c r="A70" s="35"/>
      <c r="B70" s="32" t="s">
        <v>57</v>
      </c>
      <c r="C70" s="43"/>
    </row>
    <row r="71" spans="1:3" x14ac:dyDescent="0.2">
      <c r="A71" s="36"/>
      <c r="B71" s="34" t="s">
        <v>58</v>
      </c>
      <c r="C71" s="44"/>
    </row>
    <row r="72" spans="1:3" x14ac:dyDescent="0.2">
      <c r="A72" s="35"/>
      <c r="B72" s="32" t="s">
        <v>59</v>
      </c>
      <c r="C72" s="43"/>
    </row>
    <row r="73" spans="1:3" x14ac:dyDescent="0.2">
      <c r="A73" s="36"/>
      <c r="B73" s="34" t="s">
        <v>60</v>
      </c>
      <c r="C73" s="44"/>
    </row>
    <row r="74" spans="1:3" x14ac:dyDescent="0.2">
      <c r="A74" s="35"/>
      <c r="B74" s="32" t="s">
        <v>61</v>
      </c>
      <c r="C74" s="43"/>
    </row>
    <row r="75" spans="1:3" x14ac:dyDescent="0.2">
      <c r="A75" s="36"/>
      <c r="B75" s="34" t="s">
        <v>62</v>
      </c>
      <c r="C75" s="44"/>
    </row>
    <row r="76" spans="1:3" x14ac:dyDescent="0.2">
      <c r="A76" s="36"/>
      <c r="B76" s="33" t="s">
        <v>74</v>
      </c>
      <c r="C76" s="45"/>
    </row>
    <row r="77" spans="1:3" x14ac:dyDescent="0.2">
      <c r="A77" s="36"/>
      <c r="B77" s="33" t="s">
        <v>72</v>
      </c>
      <c r="C77" s="45"/>
    </row>
    <row r="78" spans="1:3" x14ac:dyDescent="0.2">
      <c r="A78" s="36"/>
      <c r="B78" s="33" t="s">
        <v>73</v>
      </c>
      <c r="C78" s="45"/>
    </row>
    <row r="79" spans="1:3" x14ac:dyDescent="0.2">
      <c r="A79" s="36"/>
      <c r="B79" s="33" t="s">
        <v>75</v>
      </c>
      <c r="C79" s="45"/>
    </row>
    <row r="80" spans="1:3" x14ac:dyDescent="0.2">
      <c r="A80" s="36"/>
      <c r="B80" s="33" t="s">
        <v>76</v>
      </c>
      <c r="C80" s="45"/>
    </row>
    <row r="81" spans="1:3" x14ac:dyDescent="0.2">
      <c r="A81" s="36"/>
      <c r="B81" s="33" t="s">
        <v>77</v>
      </c>
      <c r="C81" s="45"/>
    </row>
    <row r="82" spans="1:3" x14ac:dyDescent="0.2">
      <c r="A82" s="36"/>
      <c r="B82" s="33" t="s">
        <v>78</v>
      </c>
      <c r="C82" s="45"/>
    </row>
    <row r="83" spans="1:3" x14ac:dyDescent="0.2">
      <c r="A83" s="36"/>
      <c r="B83" s="33" t="s">
        <v>79</v>
      </c>
      <c r="C83" s="45"/>
    </row>
    <row r="84" spans="1:3" x14ac:dyDescent="0.2">
      <c r="A84" s="36"/>
      <c r="B84" s="33" t="s">
        <v>80</v>
      </c>
      <c r="C84" s="45"/>
    </row>
    <row r="85" spans="1:3" x14ac:dyDescent="0.2">
      <c r="A85" s="36"/>
      <c r="B85" s="33" t="s">
        <v>81</v>
      </c>
      <c r="C85" s="45"/>
    </row>
    <row r="86" spans="1:3" x14ac:dyDescent="0.2">
      <c r="A86" s="36"/>
      <c r="B86" s="33" t="s">
        <v>82</v>
      </c>
      <c r="C86" s="45"/>
    </row>
    <row r="87" spans="1:3" x14ac:dyDescent="0.2">
      <c r="A87" s="36"/>
      <c r="B87" s="33" t="s">
        <v>83</v>
      </c>
      <c r="C87" s="45"/>
    </row>
    <row r="88" spans="1:3" x14ac:dyDescent="0.2">
      <c r="A88" s="36"/>
      <c r="B88" s="33" t="s">
        <v>105</v>
      </c>
      <c r="C88" s="45"/>
    </row>
    <row r="89" spans="1:3" x14ac:dyDescent="0.2">
      <c r="A89" s="36"/>
      <c r="B89" s="33" t="s">
        <v>106</v>
      </c>
      <c r="C89" s="45"/>
    </row>
    <row r="90" spans="1:3" x14ac:dyDescent="0.2">
      <c r="A90" s="36"/>
      <c r="B90" s="33" t="s">
        <v>84</v>
      </c>
      <c r="C90" s="45"/>
    </row>
    <row r="91" spans="1:3" x14ac:dyDescent="0.2">
      <c r="A91" s="36"/>
      <c r="B91" s="33" t="s">
        <v>85</v>
      </c>
      <c r="C91" s="45"/>
    </row>
    <row r="92" spans="1:3" x14ac:dyDescent="0.2">
      <c r="A92" s="36"/>
      <c r="B92" s="33" t="s">
        <v>86</v>
      </c>
      <c r="C92" s="45"/>
    </row>
    <row r="93" spans="1:3" x14ac:dyDescent="0.2">
      <c r="A93" s="36"/>
      <c r="B93" s="33" t="s">
        <v>87</v>
      </c>
      <c r="C93" s="45"/>
    </row>
    <row r="94" spans="1:3" x14ac:dyDescent="0.2">
      <c r="A94" s="36"/>
      <c r="B94" s="33" t="s">
        <v>88</v>
      </c>
      <c r="C94" s="45"/>
    </row>
    <row r="95" spans="1:3" x14ac:dyDescent="0.2">
      <c r="A95" s="36"/>
      <c r="B95" s="33" t="s">
        <v>89</v>
      </c>
      <c r="C95" s="45"/>
    </row>
    <row r="96" spans="1:3" x14ac:dyDescent="0.2">
      <c r="A96" s="36"/>
      <c r="B96" s="33" t="s">
        <v>90</v>
      </c>
      <c r="C96" s="45"/>
    </row>
    <row r="97" spans="1:3" x14ac:dyDescent="0.2">
      <c r="A97" s="36"/>
      <c r="B97" s="33" t="s">
        <v>93</v>
      </c>
      <c r="C97" s="45"/>
    </row>
    <row r="98" spans="1:3" x14ac:dyDescent="0.2">
      <c r="A98" s="36"/>
      <c r="B98" s="33" t="s">
        <v>92</v>
      </c>
      <c r="C98" s="45"/>
    </row>
    <row r="99" spans="1:3" x14ac:dyDescent="0.2">
      <c r="A99" s="36"/>
      <c r="B99" s="33" t="s">
        <v>94</v>
      </c>
      <c r="C99" s="45"/>
    </row>
    <row r="100" spans="1:3" x14ac:dyDescent="0.2">
      <c r="A100" s="36"/>
      <c r="B100" s="33" t="s">
        <v>91</v>
      </c>
      <c r="C100" s="45"/>
    </row>
    <row r="101" spans="1:3" x14ac:dyDescent="0.2">
      <c r="A101" s="36"/>
      <c r="B101" s="33" t="s">
        <v>95</v>
      </c>
      <c r="C101" s="45"/>
    </row>
    <row r="102" spans="1:3" x14ac:dyDescent="0.2">
      <c r="A102" s="36"/>
      <c r="B102" s="33" t="s">
        <v>96</v>
      </c>
      <c r="C102" s="45"/>
    </row>
    <row r="103" spans="1:3" x14ac:dyDescent="0.2">
      <c r="A103" s="36"/>
      <c r="B103" s="33" t="s">
        <v>97</v>
      </c>
      <c r="C103" s="45"/>
    </row>
    <row r="104" spans="1:3" x14ac:dyDescent="0.2">
      <c r="A104" s="36"/>
      <c r="B104" s="33" t="s">
        <v>98</v>
      </c>
      <c r="C104" s="45"/>
    </row>
    <row r="105" spans="1:3" x14ac:dyDescent="0.2">
      <c r="A105" s="36"/>
      <c r="B105" s="33" t="s">
        <v>99</v>
      </c>
      <c r="C105" s="45"/>
    </row>
    <row r="106" spans="1:3" x14ac:dyDescent="0.2">
      <c r="A106" s="36"/>
      <c r="B106" s="33" t="s">
        <v>100</v>
      </c>
      <c r="C106" s="45"/>
    </row>
    <row r="107" spans="1:3" x14ac:dyDescent="0.2">
      <c r="A107" s="36"/>
      <c r="B107" s="33" t="s">
        <v>101</v>
      </c>
      <c r="C107" s="45"/>
    </row>
    <row r="108" spans="1:3" x14ac:dyDescent="0.2">
      <c r="A108" s="36"/>
      <c r="B108" s="33" t="s">
        <v>102</v>
      </c>
      <c r="C108" s="45"/>
    </row>
    <row r="109" spans="1:3" x14ac:dyDescent="0.2">
      <c r="A109" s="36"/>
      <c r="B109" s="33" t="s">
        <v>103</v>
      </c>
      <c r="C109" s="45"/>
    </row>
    <row r="110" spans="1:3" x14ac:dyDescent="0.2">
      <c r="A110" s="36"/>
      <c r="B110" s="33" t="s">
        <v>104</v>
      </c>
      <c r="C110" s="45"/>
    </row>
    <row r="111" spans="1:3" x14ac:dyDescent="0.2">
      <c r="A111" s="36"/>
      <c r="B111" s="33" t="s">
        <v>107</v>
      </c>
      <c r="C111" s="45"/>
    </row>
    <row r="112" spans="1:3" x14ac:dyDescent="0.2">
      <c r="A112" s="36"/>
      <c r="B112" s="33" t="s">
        <v>108</v>
      </c>
      <c r="C112" s="45"/>
    </row>
    <row r="113" spans="1:3" x14ac:dyDescent="0.2">
      <c r="A113" s="36"/>
      <c r="B113" s="33" t="s">
        <v>109</v>
      </c>
      <c r="C113" s="45"/>
    </row>
    <row r="114" spans="1:3" x14ac:dyDescent="0.2">
      <c r="A114" s="36"/>
      <c r="B114" s="33" t="s">
        <v>110</v>
      </c>
      <c r="C114" s="45"/>
    </row>
    <row r="115" spans="1:3" x14ac:dyDescent="0.2">
      <c r="A115" s="36"/>
      <c r="B115" s="33" t="s">
        <v>111</v>
      </c>
      <c r="C115" s="45"/>
    </row>
    <row r="116" spans="1:3" x14ac:dyDescent="0.2">
      <c r="A116" s="36"/>
      <c r="B116" s="33"/>
      <c r="C116" s="45"/>
    </row>
    <row r="117" spans="1:3" x14ac:dyDescent="0.2">
      <c r="A117" s="36"/>
      <c r="B117" s="33"/>
      <c r="C117" s="45"/>
    </row>
    <row r="118" spans="1:3" x14ac:dyDescent="0.2">
      <c r="A118" s="36"/>
      <c r="B118" s="33"/>
      <c r="C118" s="45"/>
    </row>
    <row r="119" spans="1:3" x14ac:dyDescent="0.2">
      <c r="A119" s="36"/>
      <c r="B119" s="33"/>
      <c r="C119" s="45"/>
    </row>
    <row r="120" spans="1:3" x14ac:dyDescent="0.2">
      <c r="A120" s="36"/>
      <c r="B120" s="33"/>
      <c r="C120" s="45"/>
    </row>
    <row r="121" spans="1:3" x14ac:dyDescent="0.2">
      <c r="A121" s="36"/>
      <c r="B121" s="33"/>
      <c r="C121" s="45"/>
    </row>
    <row r="122" spans="1:3" x14ac:dyDescent="0.2">
      <c r="A122" s="36"/>
      <c r="B122" s="33"/>
      <c r="C122" s="45"/>
    </row>
    <row r="123" spans="1:3" x14ac:dyDescent="0.2">
      <c r="A123" s="36"/>
      <c r="B123" s="33"/>
      <c r="C123" s="45"/>
    </row>
    <row r="124" spans="1:3" x14ac:dyDescent="0.2">
      <c r="A124" s="36"/>
      <c r="B124" s="33"/>
      <c r="C124" s="45"/>
    </row>
    <row r="125" spans="1:3" x14ac:dyDescent="0.2">
      <c r="A125" s="36"/>
      <c r="B125" s="33"/>
      <c r="C125" s="45"/>
    </row>
    <row r="126" spans="1:3" x14ac:dyDescent="0.2">
      <c r="A126" s="36"/>
      <c r="B126" s="33"/>
      <c r="C126" s="45"/>
    </row>
    <row r="127" spans="1:3" x14ac:dyDescent="0.2">
      <c r="A127" s="36"/>
      <c r="B127" s="33"/>
      <c r="C127" s="45"/>
    </row>
    <row r="128" spans="1:3" x14ac:dyDescent="0.2">
      <c r="A128" s="36"/>
      <c r="B128" s="33"/>
      <c r="C128" s="45"/>
    </row>
    <row r="129" spans="1:3" x14ac:dyDescent="0.2">
      <c r="A129" s="36"/>
      <c r="B129" s="33"/>
      <c r="C129" s="45"/>
    </row>
    <row r="130" spans="1:3" x14ac:dyDescent="0.2">
      <c r="A130" s="36"/>
      <c r="B130" s="33"/>
      <c r="C130" s="45"/>
    </row>
    <row r="131" spans="1:3" x14ac:dyDescent="0.2">
      <c r="A131" s="36"/>
      <c r="B131" s="33"/>
      <c r="C131" s="45"/>
    </row>
    <row r="132" spans="1:3" x14ac:dyDescent="0.2">
      <c r="A132" s="36"/>
      <c r="B132" s="33"/>
      <c r="C132" s="45"/>
    </row>
    <row r="133" spans="1:3" x14ac:dyDescent="0.2">
      <c r="A133" s="36"/>
      <c r="B133" s="33"/>
      <c r="C133" s="45"/>
    </row>
    <row r="134" spans="1:3" x14ac:dyDescent="0.2">
      <c r="A134" s="36"/>
      <c r="B134" s="33"/>
      <c r="C134" s="45"/>
    </row>
    <row r="135" spans="1:3" x14ac:dyDescent="0.2">
      <c r="A135" s="36"/>
      <c r="B135" s="33"/>
      <c r="C135" s="45"/>
    </row>
    <row r="136" spans="1:3" x14ac:dyDescent="0.2">
      <c r="A136" s="36"/>
      <c r="B136" s="33"/>
      <c r="C136" s="45"/>
    </row>
    <row r="137" spans="1:3" x14ac:dyDescent="0.2">
      <c r="A137" s="36"/>
      <c r="B137" s="33"/>
      <c r="C137" s="45"/>
    </row>
    <row r="138" spans="1:3" x14ac:dyDescent="0.2">
      <c r="A138" s="36"/>
      <c r="B138" s="33"/>
      <c r="C138" s="45"/>
    </row>
    <row r="139" spans="1:3" x14ac:dyDescent="0.2">
      <c r="A139" s="36"/>
      <c r="B139" s="33"/>
      <c r="C139" s="45"/>
    </row>
    <row r="140" spans="1:3" x14ac:dyDescent="0.2">
      <c r="A140" s="36"/>
      <c r="B140" s="33"/>
      <c r="C140" s="45"/>
    </row>
    <row r="141" spans="1:3" x14ac:dyDescent="0.2">
      <c r="A141" s="36"/>
      <c r="B141" s="33"/>
      <c r="C141" s="45"/>
    </row>
    <row r="142" spans="1:3" x14ac:dyDescent="0.2">
      <c r="A142" s="36"/>
      <c r="B142" s="33"/>
      <c r="C142" s="45"/>
    </row>
    <row r="143" spans="1:3" x14ac:dyDescent="0.2">
      <c r="A143" s="36"/>
      <c r="B143" s="33"/>
      <c r="C143" s="45"/>
    </row>
    <row r="144" spans="1:3" x14ac:dyDescent="0.2">
      <c r="A144" s="36"/>
      <c r="B144" s="33"/>
      <c r="C144" s="45"/>
    </row>
    <row r="145" spans="1:3" x14ac:dyDescent="0.2">
      <c r="A145" s="36"/>
      <c r="B145" s="33"/>
      <c r="C145" s="45"/>
    </row>
    <row r="146" spans="1:3" x14ac:dyDescent="0.2">
      <c r="A146" s="36"/>
      <c r="B146" s="33"/>
      <c r="C146" s="45"/>
    </row>
    <row r="147" spans="1:3" x14ac:dyDescent="0.2">
      <c r="A147" s="36"/>
      <c r="B147" s="33"/>
      <c r="C147" s="45"/>
    </row>
    <row r="148" spans="1:3" x14ac:dyDescent="0.2">
      <c r="A148" s="36"/>
      <c r="B148" s="33"/>
      <c r="C148" s="45"/>
    </row>
    <row r="149" spans="1:3" x14ac:dyDescent="0.2">
      <c r="A149" s="36"/>
      <c r="B149" s="33"/>
      <c r="C149" s="45"/>
    </row>
    <row r="150" spans="1:3" x14ac:dyDescent="0.2">
      <c r="A150" s="36"/>
      <c r="B150" s="33"/>
      <c r="C150" s="45"/>
    </row>
    <row r="151" spans="1:3" x14ac:dyDescent="0.2">
      <c r="A151" s="36"/>
      <c r="B151" s="33"/>
      <c r="C151" s="45"/>
    </row>
    <row r="152" spans="1:3" x14ac:dyDescent="0.2">
      <c r="A152" s="36"/>
      <c r="B152" s="33"/>
      <c r="C152" s="45"/>
    </row>
    <row r="153" spans="1:3" x14ac:dyDescent="0.2">
      <c r="A153" s="36"/>
      <c r="B153" s="33"/>
      <c r="C153" s="45"/>
    </row>
    <row r="154" spans="1:3" x14ac:dyDescent="0.2">
      <c r="A154" s="36"/>
      <c r="B154" s="33"/>
      <c r="C154" s="45"/>
    </row>
    <row r="155" spans="1:3" x14ac:dyDescent="0.2">
      <c r="A155" s="36"/>
      <c r="B155" s="33"/>
      <c r="C155" s="45"/>
    </row>
    <row r="156" spans="1:3" x14ac:dyDescent="0.2">
      <c r="A156" s="36"/>
      <c r="B156" s="33"/>
      <c r="C156" s="45"/>
    </row>
    <row r="157" spans="1:3" x14ac:dyDescent="0.2">
      <c r="A157" s="36"/>
      <c r="B157" s="33"/>
      <c r="C157" s="45"/>
    </row>
    <row r="158" spans="1:3" x14ac:dyDescent="0.2">
      <c r="A158" s="36"/>
      <c r="B158" s="33"/>
      <c r="C158" s="45"/>
    </row>
    <row r="159" spans="1:3" x14ac:dyDescent="0.2">
      <c r="A159" s="36"/>
      <c r="B159" s="33"/>
      <c r="C159" s="45"/>
    </row>
    <row r="160" spans="1:3" x14ac:dyDescent="0.2">
      <c r="A160" s="36"/>
      <c r="B160" s="33"/>
      <c r="C160" s="45"/>
    </row>
    <row r="161" spans="1:3" x14ac:dyDescent="0.2">
      <c r="A161" s="36"/>
      <c r="B161" s="33"/>
      <c r="C161" s="45"/>
    </row>
    <row r="162" spans="1:3" x14ac:dyDescent="0.2">
      <c r="A162" s="36"/>
      <c r="B162" s="33"/>
      <c r="C162" s="45"/>
    </row>
    <row r="163" spans="1:3" x14ac:dyDescent="0.2">
      <c r="A163" s="36"/>
      <c r="B163" s="33"/>
      <c r="C163" s="45"/>
    </row>
    <row r="164" spans="1:3" x14ac:dyDescent="0.2">
      <c r="A164" s="36"/>
      <c r="B164" s="33"/>
      <c r="C164" s="45"/>
    </row>
    <row r="165" spans="1:3" x14ac:dyDescent="0.2">
      <c r="A165" s="36"/>
      <c r="B165" s="33"/>
      <c r="C165" s="45"/>
    </row>
    <row r="166" spans="1:3" x14ac:dyDescent="0.2">
      <c r="A166" s="36"/>
      <c r="B166" s="33"/>
      <c r="C166" s="45"/>
    </row>
    <row r="167" spans="1:3" x14ac:dyDescent="0.2">
      <c r="A167" s="36"/>
      <c r="B167" s="33"/>
      <c r="C167" s="45"/>
    </row>
    <row r="168" spans="1:3" x14ac:dyDescent="0.2">
      <c r="A168" s="36"/>
      <c r="B168" s="33"/>
      <c r="C168" s="45"/>
    </row>
    <row r="169" spans="1:3" x14ac:dyDescent="0.2">
      <c r="A169" s="36"/>
      <c r="B169" s="33"/>
      <c r="C169" s="45"/>
    </row>
    <row r="170" spans="1:3" x14ac:dyDescent="0.2">
      <c r="A170" s="36"/>
      <c r="B170" s="33"/>
      <c r="C170" s="45"/>
    </row>
    <row r="171" spans="1:3" x14ac:dyDescent="0.2">
      <c r="A171" s="36"/>
      <c r="B171" s="33"/>
      <c r="C171" s="45"/>
    </row>
    <row r="172" spans="1:3" x14ac:dyDescent="0.2">
      <c r="A172" s="36"/>
      <c r="B172" s="33"/>
      <c r="C172" s="45"/>
    </row>
    <row r="173" spans="1:3" x14ac:dyDescent="0.2">
      <c r="A173" s="36"/>
      <c r="B173" s="33"/>
      <c r="C173" s="45"/>
    </row>
    <row r="174" spans="1:3" x14ac:dyDescent="0.2">
      <c r="A174" s="36"/>
      <c r="B174" s="33"/>
      <c r="C174" s="45"/>
    </row>
    <row r="175" spans="1:3" x14ac:dyDescent="0.2">
      <c r="A175" s="36"/>
      <c r="B175" s="33"/>
      <c r="C175" s="45"/>
    </row>
    <row r="176" spans="1:3" x14ac:dyDescent="0.2">
      <c r="A176" s="36"/>
      <c r="B176" s="33"/>
      <c r="C176" s="45"/>
    </row>
    <row r="177" spans="1:3" x14ac:dyDescent="0.2">
      <c r="A177" s="36"/>
      <c r="B177" s="33"/>
      <c r="C177" s="45"/>
    </row>
    <row r="178" spans="1:3" x14ac:dyDescent="0.2">
      <c r="A178" s="36"/>
      <c r="B178" s="33"/>
      <c r="C178" s="45"/>
    </row>
    <row r="179" spans="1:3" x14ac:dyDescent="0.2">
      <c r="A179" s="36"/>
      <c r="B179" s="33"/>
      <c r="C179" s="45"/>
    </row>
    <row r="180" spans="1:3" x14ac:dyDescent="0.2">
      <c r="A180" s="36"/>
      <c r="B180" s="33"/>
      <c r="C180" s="45"/>
    </row>
    <row r="181" spans="1:3" x14ac:dyDescent="0.2">
      <c r="A181" s="36"/>
      <c r="B181" s="33"/>
      <c r="C181" s="45"/>
    </row>
    <row r="182" spans="1:3" x14ac:dyDescent="0.2">
      <c r="A182" s="36"/>
      <c r="B182" s="33"/>
      <c r="C182" s="45"/>
    </row>
    <row r="183" spans="1:3" x14ac:dyDescent="0.2">
      <c r="A183" s="36"/>
      <c r="B183" s="33"/>
      <c r="C183" s="45"/>
    </row>
    <row r="184" spans="1:3" x14ac:dyDescent="0.2">
      <c r="A184" s="36"/>
      <c r="B184" s="33"/>
      <c r="C184" s="45"/>
    </row>
    <row r="185" spans="1:3" x14ac:dyDescent="0.2">
      <c r="A185" s="36"/>
      <c r="B185" s="33"/>
      <c r="C185" s="45"/>
    </row>
    <row r="186" spans="1:3" x14ac:dyDescent="0.2">
      <c r="A186" s="36"/>
      <c r="B186" s="33"/>
      <c r="C186" s="45"/>
    </row>
    <row r="187" spans="1:3" x14ac:dyDescent="0.2">
      <c r="A187" s="36"/>
      <c r="B187" s="33"/>
      <c r="C187" s="45"/>
    </row>
    <row r="188" spans="1:3" x14ac:dyDescent="0.2">
      <c r="A188" s="36"/>
      <c r="B188" s="33"/>
      <c r="C188" s="45"/>
    </row>
    <row r="189" spans="1:3" x14ac:dyDescent="0.2">
      <c r="A189" s="36"/>
      <c r="B189" s="33"/>
      <c r="C189" s="45"/>
    </row>
    <row r="190" spans="1:3" x14ac:dyDescent="0.2">
      <c r="A190" s="36"/>
      <c r="B190" s="33"/>
      <c r="C190" s="45"/>
    </row>
    <row r="191" spans="1:3" x14ac:dyDescent="0.2">
      <c r="A191" s="36"/>
      <c r="B191" s="33"/>
      <c r="C191" s="45"/>
    </row>
    <row r="192" spans="1:3" x14ac:dyDescent="0.2">
      <c r="A192" s="36"/>
      <c r="B192" s="33"/>
      <c r="C192" s="45"/>
    </row>
    <row r="193" spans="1:3" x14ac:dyDescent="0.2">
      <c r="A193" s="36"/>
      <c r="B193" s="33"/>
      <c r="C193" s="45"/>
    </row>
    <row r="194" spans="1:3" x14ac:dyDescent="0.2">
      <c r="A194" s="36"/>
      <c r="B194" s="33"/>
      <c r="C194" s="45"/>
    </row>
    <row r="195" spans="1:3" x14ac:dyDescent="0.2">
      <c r="A195" s="36"/>
      <c r="B195" s="33"/>
      <c r="C195" s="45"/>
    </row>
    <row r="196" spans="1:3" x14ac:dyDescent="0.2">
      <c r="A196" s="36"/>
      <c r="B196" s="33"/>
      <c r="C196" s="45"/>
    </row>
    <row r="197" spans="1:3" x14ac:dyDescent="0.2">
      <c r="A197" s="36"/>
      <c r="B197" s="33"/>
      <c r="C197" s="45"/>
    </row>
    <row r="198" spans="1:3" x14ac:dyDescent="0.2">
      <c r="A198" s="36"/>
      <c r="B198" s="33"/>
      <c r="C198" s="45"/>
    </row>
    <row r="199" spans="1:3" x14ac:dyDescent="0.2">
      <c r="A199" s="36"/>
      <c r="B199" s="33"/>
      <c r="C199" s="45"/>
    </row>
    <row r="200" spans="1:3" x14ac:dyDescent="0.2">
      <c r="A200" s="36"/>
      <c r="B200" s="33"/>
      <c r="C200" s="45"/>
    </row>
    <row r="201" spans="1:3" x14ac:dyDescent="0.2">
      <c r="A201" s="36"/>
      <c r="B201" s="33"/>
      <c r="C201" s="45"/>
    </row>
    <row r="202" spans="1:3" x14ac:dyDescent="0.2">
      <c r="A202" s="39"/>
      <c r="B202" s="40"/>
      <c r="C202" s="46"/>
    </row>
  </sheetData>
  <mergeCells count="2">
    <mergeCell ref="A2:F2"/>
    <mergeCell ref="A4:F4"/>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7"/>
  <sheetViews>
    <sheetView topLeftCell="A63" workbookViewId="0">
      <selection activeCell="F86" sqref="F86"/>
    </sheetView>
  </sheetViews>
  <sheetFormatPr baseColWidth="10" defaultRowHeight="12.55" x14ac:dyDescent="0.2"/>
  <cols>
    <col min="2" max="2" width="14.88671875" customWidth="1"/>
    <col min="3" max="6" width="16" customWidth="1"/>
    <col min="7" max="7" width="13" customWidth="1"/>
  </cols>
  <sheetData>
    <row r="3" spans="1:8" ht="17.55" x14ac:dyDescent="0.3">
      <c r="A3" s="153" t="s">
        <v>168</v>
      </c>
      <c r="B3" s="153"/>
      <c r="C3" s="153"/>
      <c r="D3" s="153"/>
      <c r="E3" s="153"/>
      <c r="F3" s="153"/>
      <c r="G3" s="153"/>
      <c r="H3" s="153"/>
    </row>
    <row r="5" spans="1:8" ht="14.4" x14ac:dyDescent="0.25">
      <c r="B5" s="42" t="s">
        <v>122</v>
      </c>
      <c r="C5" s="42" t="s">
        <v>123</v>
      </c>
      <c r="D5" s="42" t="s">
        <v>124</v>
      </c>
      <c r="E5" s="42" t="s">
        <v>172</v>
      </c>
      <c r="F5" s="42" t="s">
        <v>125</v>
      </c>
      <c r="G5" s="42" t="s">
        <v>149</v>
      </c>
    </row>
    <row r="6" spans="1:8" x14ac:dyDescent="0.2">
      <c r="B6" s="41"/>
    </row>
    <row r="7" spans="1:8" ht="13.15" x14ac:dyDescent="0.25">
      <c r="B7" s="49" t="s">
        <v>127</v>
      </c>
    </row>
    <row r="8" spans="1:8" x14ac:dyDescent="0.2">
      <c r="B8" s="41" t="s">
        <v>128</v>
      </c>
    </row>
    <row r="9" spans="1:8" ht="13.15" x14ac:dyDescent="0.25">
      <c r="A9" s="51" t="s">
        <v>173</v>
      </c>
      <c r="B9" s="49" t="s">
        <v>146</v>
      </c>
      <c r="D9">
        <v>100</v>
      </c>
      <c r="E9">
        <v>100</v>
      </c>
      <c r="F9" t="s">
        <v>171</v>
      </c>
      <c r="G9" t="s">
        <v>156</v>
      </c>
    </row>
    <row r="10" spans="1:8" x14ac:dyDescent="0.2">
      <c r="A10" s="51" t="s">
        <v>173</v>
      </c>
      <c r="B10" s="47" t="s">
        <v>170</v>
      </c>
      <c r="D10">
        <v>1</v>
      </c>
      <c r="E10">
        <f t="shared" ref="E10:E57" si="0">C10*D10</f>
        <v>0</v>
      </c>
      <c r="F10" t="s">
        <v>171</v>
      </c>
      <c r="G10" t="s">
        <v>180</v>
      </c>
    </row>
    <row r="11" spans="1:8" x14ac:dyDescent="0.2">
      <c r="A11" s="51" t="s">
        <v>173</v>
      </c>
      <c r="B11" s="47" t="s">
        <v>169</v>
      </c>
      <c r="D11">
        <v>1</v>
      </c>
      <c r="E11">
        <f t="shared" si="0"/>
        <v>0</v>
      </c>
      <c r="F11" t="s">
        <v>171</v>
      </c>
      <c r="G11" t="s">
        <v>180</v>
      </c>
    </row>
    <row r="12" spans="1:8" ht="13.15" x14ac:dyDescent="0.25">
      <c r="B12" s="49" t="s">
        <v>126</v>
      </c>
      <c r="E12">
        <f t="shared" si="0"/>
        <v>0</v>
      </c>
      <c r="G12" t="s">
        <v>156</v>
      </c>
    </row>
    <row r="13" spans="1:8" ht="13.15" x14ac:dyDescent="0.25">
      <c r="A13" s="51" t="s">
        <v>173</v>
      </c>
      <c r="B13" s="49" t="s">
        <v>129</v>
      </c>
      <c r="C13">
        <v>1.47</v>
      </c>
      <c r="D13">
        <v>100</v>
      </c>
      <c r="E13">
        <f t="shared" si="0"/>
        <v>147</v>
      </c>
      <c r="F13" s="41" t="s">
        <v>141</v>
      </c>
      <c r="G13" t="s">
        <v>156</v>
      </c>
    </row>
    <row r="14" spans="1:8" x14ac:dyDescent="0.2">
      <c r="A14" s="51" t="s">
        <v>173</v>
      </c>
      <c r="B14" s="47" t="s">
        <v>130</v>
      </c>
      <c r="C14">
        <v>1.35</v>
      </c>
      <c r="D14">
        <v>50</v>
      </c>
      <c r="E14">
        <f t="shared" si="0"/>
        <v>67.5</v>
      </c>
      <c r="F14" s="41" t="s">
        <v>141</v>
      </c>
      <c r="G14" t="s">
        <v>156</v>
      </c>
    </row>
    <row r="15" spans="1:8" x14ac:dyDescent="0.2">
      <c r="A15" s="51" t="s">
        <v>173</v>
      </c>
      <c r="B15" s="47" t="s">
        <v>131</v>
      </c>
      <c r="C15">
        <v>0.85</v>
      </c>
      <c r="D15">
        <v>50</v>
      </c>
      <c r="E15">
        <f t="shared" si="0"/>
        <v>42.5</v>
      </c>
      <c r="F15" s="41" t="s">
        <v>141</v>
      </c>
      <c r="G15" t="s">
        <v>156</v>
      </c>
    </row>
    <row r="16" spans="1:8" x14ac:dyDescent="0.2">
      <c r="A16" s="51" t="s">
        <v>173</v>
      </c>
      <c r="B16" s="47" t="s">
        <v>132</v>
      </c>
      <c r="C16">
        <v>0.85</v>
      </c>
      <c r="D16">
        <v>50</v>
      </c>
      <c r="E16">
        <f t="shared" si="0"/>
        <v>42.5</v>
      </c>
      <c r="F16" s="41" t="s">
        <v>141</v>
      </c>
      <c r="G16" t="s">
        <v>156</v>
      </c>
    </row>
    <row r="17" spans="1:7" x14ac:dyDescent="0.2">
      <c r="A17" s="51" t="s">
        <v>173</v>
      </c>
      <c r="B17" s="47" t="s">
        <v>133</v>
      </c>
      <c r="C17">
        <v>0.85</v>
      </c>
      <c r="D17">
        <v>50</v>
      </c>
      <c r="E17">
        <f t="shared" si="0"/>
        <v>42.5</v>
      </c>
      <c r="F17" s="41" t="s">
        <v>141</v>
      </c>
      <c r="G17" t="s">
        <v>156</v>
      </c>
    </row>
    <row r="18" spans="1:7" x14ac:dyDescent="0.2">
      <c r="B18" s="41" t="s">
        <v>134</v>
      </c>
      <c r="C18">
        <v>0.85</v>
      </c>
      <c r="E18">
        <f t="shared" si="0"/>
        <v>0</v>
      </c>
      <c r="F18" s="41" t="s">
        <v>141</v>
      </c>
      <c r="G18" t="s">
        <v>156</v>
      </c>
    </row>
    <row r="19" spans="1:7" x14ac:dyDescent="0.2">
      <c r="B19" s="41" t="s">
        <v>135</v>
      </c>
      <c r="C19">
        <v>0.85</v>
      </c>
      <c r="E19">
        <f t="shared" si="0"/>
        <v>0</v>
      </c>
      <c r="F19" s="41" t="s">
        <v>141</v>
      </c>
      <c r="G19" t="s">
        <v>156</v>
      </c>
    </row>
    <row r="20" spans="1:7" x14ac:dyDescent="0.2">
      <c r="B20" s="41" t="s">
        <v>136</v>
      </c>
      <c r="C20">
        <v>0.85</v>
      </c>
      <c r="E20">
        <f t="shared" si="0"/>
        <v>0</v>
      </c>
      <c r="F20" s="41" t="s">
        <v>141</v>
      </c>
      <c r="G20" t="s">
        <v>156</v>
      </c>
    </row>
    <row r="21" spans="1:7" x14ac:dyDescent="0.2">
      <c r="A21" s="51" t="s">
        <v>173</v>
      </c>
      <c r="B21" s="47" t="s">
        <v>139</v>
      </c>
      <c r="C21">
        <v>0.85</v>
      </c>
      <c r="D21">
        <v>40</v>
      </c>
      <c r="E21">
        <f t="shared" si="0"/>
        <v>34</v>
      </c>
      <c r="F21" s="41" t="s">
        <v>141</v>
      </c>
      <c r="G21" t="s">
        <v>156</v>
      </c>
    </row>
    <row r="22" spans="1:7" x14ac:dyDescent="0.2">
      <c r="B22" s="41" t="s">
        <v>137</v>
      </c>
      <c r="C22">
        <v>0.85</v>
      </c>
      <c r="E22">
        <f t="shared" si="0"/>
        <v>0</v>
      </c>
      <c r="F22" s="41" t="s">
        <v>141</v>
      </c>
      <c r="G22" t="s">
        <v>156</v>
      </c>
    </row>
    <row r="23" spans="1:7" x14ac:dyDescent="0.2">
      <c r="B23" s="41" t="s">
        <v>138</v>
      </c>
      <c r="C23">
        <v>0.85</v>
      </c>
      <c r="E23">
        <f t="shared" si="0"/>
        <v>0</v>
      </c>
      <c r="F23" s="41" t="s">
        <v>141</v>
      </c>
      <c r="G23" t="s">
        <v>156</v>
      </c>
    </row>
    <row r="24" spans="1:7" x14ac:dyDescent="0.2">
      <c r="B24" s="47" t="s">
        <v>140</v>
      </c>
      <c r="C24">
        <v>40</v>
      </c>
      <c r="D24">
        <v>7</v>
      </c>
      <c r="E24">
        <f t="shared" si="0"/>
        <v>280</v>
      </c>
      <c r="F24" s="41" t="s">
        <v>141</v>
      </c>
      <c r="G24" t="s">
        <v>181</v>
      </c>
    </row>
    <row r="25" spans="1:7" x14ac:dyDescent="0.2">
      <c r="A25" s="51" t="s">
        <v>173</v>
      </c>
      <c r="B25" s="47" t="s">
        <v>42</v>
      </c>
      <c r="C25">
        <v>0.75</v>
      </c>
      <c r="D25">
        <v>30</v>
      </c>
      <c r="E25">
        <f t="shared" si="0"/>
        <v>22.5</v>
      </c>
      <c r="F25" s="41" t="s">
        <v>141</v>
      </c>
      <c r="G25" t="s">
        <v>182</v>
      </c>
    </row>
    <row r="26" spans="1:7" x14ac:dyDescent="0.2">
      <c r="A26" s="51" t="s">
        <v>173</v>
      </c>
      <c r="B26" s="47" t="s">
        <v>43</v>
      </c>
      <c r="C26">
        <v>0.9</v>
      </c>
      <c r="D26">
        <v>30</v>
      </c>
      <c r="E26">
        <f t="shared" si="0"/>
        <v>27</v>
      </c>
      <c r="F26" s="41" t="s">
        <v>141</v>
      </c>
      <c r="G26" t="s">
        <v>182</v>
      </c>
    </row>
    <row r="27" spans="1:7" ht="13.15" x14ac:dyDescent="0.25">
      <c r="A27" s="51" t="s">
        <v>173</v>
      </c>
      <c r="B27" s="49" t="s">
        <v>142</v>
      </c>
      <c r="C27">
        <v>1.5</v>
      </c>
      <c r="D27">
        <v>50</v>
      </c>
      <c r="E27">
        <f t="shared" si="0"/>
        <v>75</v>
      </c>
      <c r="F27" s="41" t="s">
        <v>141</v>
      </c>
      <c r="G27" t="s">
        <v>154</v>
      </c>
    </row>
    <row r="28" spans="1:7" x14ac:dyDescent="0.2">
      <c r="B28" s="47" t="s">
        <v>143</v>
      </c>
      <c r="C28">
        <v>1.5</v>
      </c>
      <c r="D28">
        <v>25</v>
      </c>
      <c r="E28">
        <f t="shared" si="0"/>
        <v>37.5</v>
      </c>
      <c r="F28" s="41" t="s">
        <v>141</v>
      </c>
      <c r="G28" t="s">
        <v>155</v>
      </c>
    </row>
    <row r="29" spans="1:7" x14ac:dyDescent="0.2">
      <c r="B29" s="47" t="s">
        <v>144</v>
      </c>
      <c r="C29">
        <v>1.5</v>
      </c>
      <c r="D29">
        <v>25</v>
      </c>
      <c r="E29">
        <f t="shared" si="0"/>
        <v>37.5</v>
      </c>
      <c r="F29" s="41" t="s">
        <v>141</v>
      </c>
      <c r="G29" t="s">
        <v>155</v>
      </c>
    </row>
    <row r="30" spans="1:7" x14ac:dyDescent="0.2">
      <c r="B30" s="47" t="s">
        <v>145</v>
      </c>
      <c r="C30">
        <v>1.5</v>
      </c>
      <c r="D30">
        <v>25</v>
      </c>
      <c r="E30">
        <f t="shared" si="0"/>
        <v>37.5</v>
      </c>
      <c r="F30" s="41" t="s">
        <v>141</v>
      </c>
      <c r="G30" t="s">
        <v>155</v>
      </c>
    </row>
    <row r="31" spans="1:7" x14ac:dyDescent="0.2">
      <c r="B31" s="47" t="s">
        <v>37</v>
      </c>
      <c r="C31">
        <v>1.5</v>
      </c>
      <c r="D31">
        <v>25</v>
      </c>
      <c r="E31">
        <f t="shared" si="0"/>
        <v>37.5</v>
      </c>
      <c r="F31" s="41" t="s">
        <v>141</v>
      </c>
      <c r="G31" t="s">
        <v>156</v>
      </c>
    </row>
    <row r="32" spans="1:7" x14ac:dyDescent="0.2">
      <c r="B32" s="47" t="s">
        <v>151</v>
      </c>
      <c r="C32">
        <v>1.5</v>
      </c>
      <c r="D32">
        <v>10</v>
      </c>
      <c r="E32">
        <f t="shared" si="0"/>
        <v>15</v>
      </c>
      <c r="F32" s="41" t="s">
        <v>141</v>
      </c>
      <c r="G32" t="s">
        <v>154</v>
      </c>
    </row>
    <row r="33" spans="1:7" x14ac:dyDescent="0.2">
      <c r="A33" s="51" t="s">
        <v>173</v>
      </c>
      <c r="B33" s="47" t="s">
        <v>147</v>
      </c>
      <c r="C33">
        <v>1.5</v>
      </c>
      <c r="D33">
        <v>10</v>
      </c>
      <c r="E33">
        <f t="shared" si="0"/>
        <v>15</v>
      </c>
      <c r="F33" s="41" t="s">
        <v>141</v>
      </c>
      <c r="G33" t="s">
        <v>154</v>
      </c>
    </row>
    <row r="34" spans="1:7" x14ac:dyDescent="0.2">
      <c r="A34" s="51" t="s">
        <v>173</v>
      </c>
      <c r="B34" s="47" t="s">
        <v>148</v>
      </c>
      <c r="C34">
        <v>1.5</v>
      </c>
      <c r="D34">
        <v>10</v>
      </c>
      <c r="E34">
        <f t="shared" si="0"/>
        <v>15</v>
      </c>
      <c r="F34" s="41" t="s">
        <v>141</v>
      </c>
      <c r="G34" t="s">
        <v>154</v>
      </c>
    </row>
    <row r="35" spans="1:7" x14ac:dyDescent="0.2">
      <c r="B35" s="50" t="s">
        <v>150</v>
      </c>
      <c r="C35">
        <v>1.5</v>
      </c>
      <c r="D35">
        <v>0</v>
      </c>
      <c r="E35">
        <f t="shared" si="0"/>
        <v>0</v>
      </c>
      <c r="F35" s="41" t="s">
        <v>141</v>
      </c>
      <c r="G35" t="s">
        <v>154</v>
      </c>
    </row>
    <row r="36" spans="1:7" x14ac:dyDescent="0.2">
      <c r="B36" s="50" t="s">
        <v>152</v>
      </c>
      <c r="C36">
        <v>1.5</v>
      </c>
      <c r="D36">
        <v>5</v>
      </c>
      <c r="E36">
        <f t="shared" si="0"/>
        <v>7.5</v>
      </c>
      <c r="F36" s="41" t="s">
        <v>141</v>
      </c>
      <c r="G36" t="s">
        <v>154</v>
      </c>
    </row>
    <row r="37" spans="1:7" x14ac:dyDescent="0.2">
      <c r="B37" s="50" t="s">
        <v>153</v>
      </c>
      <c r="C37">
        <v>1.5</v>
      </c>
      <c r="E37">
        <f t="shared" si="0"/>
        <v>0</v>
      </c>
      <c r="F37" s="41" t="s">
        <v>141</v>
      </c>
      <c r="G37" t="s">
        <v>154</v>
      </c>
    </row>
    <row r="38" spans="1:7" x14ac:dyDescent="0.2">
      <c r="B38" s="50" t="s">
        <v>157</v>
      </c>
      <c r="C38">
        <v>1.5</v>
      </c>
      <c r="D38">
        <v>2</v>
      </c>
      <c r="E38">
        <f t="shared" si="0"/>
        <v>3</v>
      </c>
      <c r="F38" s="41" t="s">
        <v>141</v>
      </c>
      <c r="G38" t="s">
        <v>155</v>
      </c>
    </row>
    <row r="39" spans="1:7" x14ac:dyDescent="0.2">
      <c r="A39" s="51" t="s">
        <v>173</v>
      </c>
      <c r="B39" s="47" t="s">
        <v>158</v>
      </c>
      <c r="C39">
        <v>1.5</v>
      </c>
      <c r="D39">
        <v>10</v>
      </c>
      <c r="E39">
        <f t="shared" si="0"/>
        <v>15</v>
      </c>
      <c r="F39" s="41" t="s">
        <v>141</v>
      </c>
      <c r="G39" t="s">
        <v>155</v>
      </c>
    </row>
    <row r="40" spans="1:7" x14ac:dyDescent="0.2">
      <c r="A40" s="51" t="s">
        <v>173</v>
      </c>
      <c r="B40" s="47" t="s">
        <v>159</v>
      </c>
      <c r="C40">
        <v>1.5</v>
      </c>
      <c r="D40">
        <v>5</v>
      </c>
      <c r="E40">
        <f t="shared" si="0"/>
        <v>7.5</v>
      </c>
      <c r="F40" s="41" t="s">
        <v>141</v>
      </c>
      <c r="G40" t="s">
        <v>155</v>
      </c>
    </row>
    <row r="41" spans="1:7" x14ac:dyDescent="0.2">
      <c r="A41" s="51" t="s">
        <v>173</v>
      </c>
      <c r="B41" s="48" t="s">
        <v>160</v>
      </c>
      <c r="C41">
        <v>1.5</v>
      </c>
      <c r="D41">
        <v>10</v>
      </c>
      <c r="E41">
        <f t="shared" si="0"/>
        <v>15</v>
      </c>
      <c r="F41" s="41" t="s">
        <v>141</v>
      </c>
      <c r="G41" t="s">
        <v>155</v>
      </c>
    </row>
    <row r="42" spans="1:7" x14ac:dyDescent="0.2">
      <c r="A42" s="51" t="s">
        <v>173</v>
      </c>
      <c r="B42" s="48" t="s">
        <v>161</v>
      </c>
      <c r="C42">
        <v>1.5</v>
      </c>
      <c r="D42">
        <v>10</v>
      </c>
      <c r="E42">
        <f t="shared" si="0"/>
        <v>15</v>
      </c>
      <c r="F42" s="41" t="s">
        <v>141</v>
      </c>
      <c r="G42" t="s">
        <v>155</v>
      </c>
    </row>
    <row r="43" spans="1:7" x14ac:dyDescent="0.2">
      <c r="A43" s="51" t="s">
        <v>173</v>
      </c>
      <c r="B43" s="47" t="s">
        <v>162</v>
      </c>
      <c r="C43">
        <v>1.5</v>
      </c>
      <c r="D43">
        <v>5</v>
      </c>
      <c r="E43">
        <f t="shared" si="0"/>
        <v>7.5</v>
      </c>
      <c r="F43" s="41" t="s">
        <v>141</v>
      </c>
      <c r="G43" t="s">
        <v>155</v>
      </c>
    </row>
    <row r="44" spans="1:7" x14ac:dyDescent="0.2">
      <c r="B44" s="50" t="s">
        <v>163</v>
      </c>
      <c r="C44">
        <v>1.5</v>
      </c>
      <c r="D44">
        <v>5</v>
      </c>
      <c r="E44">
        <f t="shared" si="0"/>
        <v>7.5</v>
      </c>
      <c r="F44" s="41" t="s">
        <v>141</v>
      </c>
      <c r="G44" t="s">
        <v>155</v>
      </c>
    </row>
    <row r="45" spans="1:7" x14ac:dyDescent="0.2">
      <c r="B45" s="50" t="s">
        <v>164</v>
      </c>
      <c r="C45">
        <v>1.5</v>
      </c>
      <c r="D45">
        <v>0</v>
      </c>
      <c r="E45">
        <f t="shared" si="0"/>
        <v>0</v>
      </c>
      <c r="F45" s="41" t="s">
        <v>141</v>
      </c>
      <c r="G45" t="s">
        <v>155</v>
      </c>
    </row>
    <row r="46" spans="1:7" x14ac:dyDescent="0.2">
      <c r="B46" s="50" t="s">
        <v>165</v>
      </c>
      <c r="C46">
        <v>1.5</v>
      </c>
      <c r="D46">
        <v>0</v>
      </c>
      <c r="E46">
        <f t="shared" si="0"/>
        <v>0</v>
      </c>
      <c r="F46" s="41" t="s">
        <v>141</v>
      </c>
      <c r="G46" t="s">
        <v>155</v>
      </c>
    </row>
    <row r="47" spans="1:7" ht="13.15" x14ac:dyDescent="0.25">
      <c r="A47" s="51" t="s">
        <v>173</v>
      </c>
      <c r="B47" s="49" t="s">
        <v>166</v>
      </c>
      <c r="C47">
        <v>5.75</v>
      </c>
      <c r="D47">
        <v>10</v>
      </c>
      <c r="E47">
        <f t="shared" si="0"/>
        <v>57.5</v>
      </c>
      <c r="F47" s="41" t="s">
        <v>141</v>
      </c>
      <c r="G47" t="s">
        <v>156</v>
      </c>
    </row>
    <row r="48" spans="1:7" x14ac:dyDescent="0.2">
      <c r="A48" s="51" t="s">
        <v>173</v>
      </c>
      <c r="B48" s="41" t="s">
        <v>19</v>
      </c>
      <c r="C48">
        <v>6</v>
      </c>
      <c r="D48">
        <v>5</v>
      </c>
      <c r="E48">
        <f t="shared" si="0"/>
        <v>30</v>
      </c>
      <c r="F48" s="41" t="s">
        <v>141</v>
      </c>
      <c r="G48" t="s">
        <v>155</v>
      </c>
    </row>
    <row r="49" spans="1:7" x14ac:dyDescent="0.2">
      <c r="B49" s="41" t="s">
        <v>167</v>
      </c>
      <c r="C49">
        <v>6</v>
      </c>
      <c r="D49">
        <v>0</v>
      </c>
      <c r="E49">
        <f t="shared" si="0"/>
        <v>0</v>
      </c>
      <c r="F49" s="41" t="s">
        <v>141</v>
      </c>
      <c r="G49" t="s">
        <v>155</v>
      </c>
    </row>
    <row r="50" spans="1:7" x14ac:dyDescent="0.2">
      <c r="B50" s="41" t="s">
        <v>17</v>
      </c>
      <c r="C50">
        <v>6</v>
      </c>
      <c r="D50">
        <v>0</v>
      </c>
      <c r="E50">
        <f t="shared" si="0"/>
        <v>0</v>
      </c>
      <c r="F50" s="41" t="s">
        <v>141</v>
      </c>
      <c r="G50" t="s">
        <v>155</v>
      </c>
    </row>
    <row r="51" spans="1:7" x14ac:dyDescent="0.2">
      <c r="B51" s="41" t="s">
        <v>16</v>
      </c>
      <c r="C51">
        <v>6</v>
      </c>
      <c r="D51">
        <v>0</v>
      </c>
      <c r="E51">
        <f t="shared" si="0"/>
        <v>0</v>
      </c>
      <c r="F51" s="41" t="s">
        <v>141</v>
      </c>
      <c r="G51" t="s">
        <v>155</v>
      </c>
    </row>
    <row r="52" spans="1:7" x14ac:dyDescent="0.2">
      <c r="A52" s="51" t="s">
        <v>173</v>
      </c>
      <c r="B52" s="41" t="s">
        <v>174</v>
      </c>
      <c r="C52">
        <v>5.5</v>
      </c>
      <c r="D52">
        <v>5</v>
      </c>
      <c r="E52">
        <f t="shared" si="0"/>
        <v>27.5</v>
      </c>
      <c r="F52" s="41" t="s">
        <v>141</v>
      </c>
      <c r="G52" t="s">
        <v>180</v>
      </c>
    </row>
    <row r="53" spans="1:7" x14ac:dyDescent="0.2">
      <c r="A53" s="51" t="s">
        <v>173</v>
      </c>
      <c r="B53" s="41" t="s">
        <v>175</v>
      </c>
      <c r="C53">
        <v>5.5</v>
      </c>
      <c r="D53">
        <v>5</v>
      </c>
      <c r="E53">
        <f t="shared" si="0"/>
        <v>27.5</v>
      </c>
      <c r="F53" s="41" t="s">
        <v>141</v>
      </c>
      <c r="G53" t="s">
        <v>180</v>
      </c>
    </row>
    <row r="54" spans="1:7" x14ac:dyDescent="0.2">
      <c r="A54" s="51" t="s">
        <v>173</v>
      </c>
      <c r="B54" s="41" t="s">
        <v>176</v>
      </c>
      <c r="C54">
        <v>1.5</v>
      </c>
      <c r="D54">
        <v>5</v>
      </c>
      <c r="E54">
        <f t="shared" si="0"/>
        <v>7.5</v>
      </c>
      <c r="F54" s="41" t="s">
        <v>141</v>
      </c>
      <c r="G54" t="s">
        <v>182</v>
      </c>
    </row>
    <row r="55" spans="1:7" x14ac:dyDescent="0.2">
      <c r="A55" s="51" t="s">
        <v>173</v>
      </c>
      <c r="B55" s="41" t="s">
        <v>177</v>
      </c>
      <c r="C55">
        <v>3</v>
      </c>
      <c r="D55">
        <v>2</v>
      </c>
      <c r="E55">
        <f t="shared" si="0"/>
        <v>6</v>
      </c>
      <c r="F55" s="41" t="s">
        <v>141</v>
      </c>
      <c r="G55" t="s">
        <v>182</v>
      </c>
    </row>
    <row r="56" spans="1:7" x14ac:dyDescent="0.2">
      <c r="A56" s="51" t="s">
        <v>173</v>
      </c>
      <c r="B56" s="41" t="s">
        <v>178</v>
      </c>
      <c r="C56">
        <v>1.5</v>
      </c>
      <c r="D56">
        <v>5</v>
      </c>
      <c r="E56">
        <f t="shared" si="0"/>
        <v>7.5</v>
      </c>
      <c r="F56" t="s">
        <v>141</v>
      </c>
      <c r="G56" t="s">
        <v>182</v>
      </c>
    </row>
    <row r="57" spans="1:7" x14ac:dyDescent="0.2">
      <c r="A57" s="51" t="s">
        <v>173</v>
      </c>
      <c r="B57" s="41" t="s">
        <v>179</v>
      </c>
      <c r="C57">
        <v>1.25</v>
      </c>
      <c r="D57">
        <v>25</v>
      </c>
      <c r="E57">
        <f t="shared" si="0"/>
        <v>31.25</v>
      </c>
      <c r="F57" t="s">
        <v>141</v>
      </c>
      <c r="G57" t="s">
        <v>182</v>
      </c>
    </row>
  </sheetData>
  <mergeCells count="1">
    <mergeCell ref="A3:H3"/>
  </mergeCells>
  <pageMargins left="0.7" right="0.7" top="0.75" bottom="0.75" header="0.3" footer="0.3"/>
  <pageSetup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1"/>
  <sheetViews>
    <sheetView workbookViewId="0">
      <selection activeCell="B21" sqref="B21:D21"/>
    </sheetView>
  </sheetViews>
  <sheetFormatPr baseColWidth="10" defaultRowHeight="12.55" x14ac:dyDescent="0.2"/>
  <cols>
    <col min="2" max="4" width="15.88671875" customWidth="1"/>
  </cols>
  <sheetData>
    <row r="1" spans="2:4" x14ac:dyDescent="0.2">
      <c r="B1" s="154" t="s">
        <v>554</v>
      </c>
      <c r="C1" s="154"/>
      <c r="D1" s="154"/>
    </row>
    <row r="2" spans="2:4" ht="18" customHeight="1" x14ac:dyDescent="0.2">
      <c r="B2" s="154"/>
      <c r="C2" s="154"/>
      <c r="D2" s="154"/>
    </row>
    <row r="4" spans="2:4" ht="22.55" x14ac:dyDescent="0.2">
      <c r="B4" s="165">
        <v>11</v>
      </c>
      <c r="C4" s="162">
        <v>104</v>
      </c>
      <c r="D4" s="162">
        <v>235</v>
      </c>
    </row>
    <row r="5" spans="2:4" ht="22.55" x14ac:dyDescent="0.2">
      <c r="B5" s="162">
        <v>17</v>
      </c>
      <c r="C5" s="165">
        <v>117</v>
      </c>
      <c r="D5" s="163">
        <v>239</v>
      </c>
    </row>
    <row r="6" spans="2:4" ht="22.55" x14ac:dyDescent="0.2">
      <c r="B6" s="162">
        <v>18</v>
      </c>
      <c r="C6" s="162">
        <v>119</v>
      </c>
      <c r="D6" s="163">
        <v>267</v>
      </c>
    </row>
    <row r="7" spans="2:4" ht="22.55" x14ac:dyDescent="0.2">
      <c r="B7" s="163">
        <v>24</v>
      </c>
      <c r="C7" s="165">
        <v>123</v>
      </c>
      <c r="D7" s="165">
        <v>270</v>
      </c>
    </row>
    <row r="8" spans="2:4" ht="22.55" x14ac:dyDescent="0.2">
      <c r="B8" s="165">
        <v>28</v>
      </c>
      <c r="C8" s="162">
        <v>126</v>
      </c>
      <c r="D8" s="162">
        <v>275</v>
      </c>
    </row>
    <row r="9" spans="2:4" ht="22.55" x14ac:dyDescent="0.2">
      <c r="B9" s="163">
        <v>30</v>
      </c>
      <c r="C9" s="162">
        <v>136</v>
      </c>
      <c r="D9" s="162">
        <v>277</v>
      </c>
    </row>
    <row r="10" spans="2:4" ht="22.55" x14ac:dyDescent="0.2">
      <c r="B10" s="164">
        <v>35</v>
      </c>
      <c r="C10" s="163">
        <v>137</v>
      </c>
      <c r="D10" s="163">
        <v>279</v>
      </c>
    </row>
    <row r="11" spans="2:4" ht="22.55" x14ac:dyDescent="0.2">
      <c r="B11" s="164">
        <v>39</v>
      </c>
      <c r="C11" s="163">
        <v>146</v>
      </c>
      <c r="D11" s="162">
        <v>280</v>
      </c>
    </row>
    <row r="12" spans="2:4" ht="22.55" x14ac:dyDescent="0.2">
      <c r="B12" s="162">
        <v>43</v>
      </c>
      <c r="C12" s="162">
        <v>157</v>
      </c>
      <c r="D12" s="162">
        <v>281</v>
      </c>
    </row>
    <row r="13" spans="2:4" ht="22.55" x14ac:dyDescent="0.2">
      <c r="B13" s="162">
        <v>50</v>
      </c>
      <c r="C13" s="162">
        <v>169</v>
      </c>
      <c r="D13" s="162">
        <v>282</v>
      </c>
    </row>
    <row r="14" spans="2:4" ht="22.55" x14ac:dyDescent="0.35">
      <c r="B14" s="162">
        <v>52</v>
      </c>
      <c r="C14" s="163">
        <v>176</v>
      </c>
      <c r="D14" s="166">
        <v>284</v>
      </c>
    </row>
    <row r="15" spans="2:4" ht="22.55" x14ac:dyDescent="0.35">
      <c r="B15" s="165">
        <v>64</v>
      </c>
      <c r="C15" s="165">
        <v>206</v>
      </c>
      <c r="D15" s="161">
        <v>285</v>
      </c>
    </row>
    <row r="16" spans="2:4" ht="22.55" x14ac:dyDescent="0.35">
      <c r="B16" s="162">
        <v>66</v>
      </c>
      <c r="C16" s="162">
        <v>209</v>
      </c>
      <c r="D16" s="161">
        <v>286</v>
      </c>
    </row>
    <row r="17" spans="2:4" ht="22.55" x14ac:dyDescent="0.2">
      <c r="B17" s="162">
        <v>94</v>
      </c>
      <c r="C17" s="163">
        <v>210</v>
      </c>
      <c r="D17" s="163">
        <v>287</v>
      </c>
    </row>
    <row r="18" spans="2:4" ht="22.55" x14ac:dyDescent="0.35">
      <c r="B18" s="163">
        <v>97</v>
      </c>
      <c r="C18" s="162">
        <v>212</v>
      </c>
      <c r="D18" s="166">
        <v>288</v>
      </c>
    </row>
    <row r="19" spans="2:4" ht="22.55" x14ac:dyDescent="0.35">
      <c r="B19" s="162">
        <v>99</v>
      </c>
      <c r="C19" s="165">
        <v>213</v>
      </c>
      <c r="D19" s="161">
        <v>289</v>
      </c>
    </row>
    <row r="21" spans="2:4" ht="13.15" x14ac:dyDescent="0.25">
      <c r="B21" s="167" t="s">
        <v>555</v>
      </c>
      <c r="C21" s="167"/>
      <c r="D21" s="167"/>
    </row>
  </sheetData>
  <mergeCells count="2">
    <mergeCell ref="B1:D2"/>
    <mergeCell ref="B21:D21"/>
  </mergeCells>
  <pageMargins left="0.7" right="0.7" top="0.75" bottom="0.75" header="0.3" footer="0.3"/>
  <pageSetup orientation="portrait" horizontalDpi="4294967294"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06"/>
  <sheetViews>
    <sheetView topLeftCell="A91" workbookViewId="0">
      <selection activeCell="H205" sqref="H205"/>
    </sheetView>
  </sheetViews>
  <sheetFormatPr baseColWidth="10" defaultRowHeight="12.55" x14ac:dyDescent="0.2"/>
  <cols>
    <col min="1" max="1" width="1.5546875" customWidth="1"/>
    <col min="2" max="2" width="1.109375" customWidth="1"/>
    <col min="3" max="3" width="13" customWidth="1"/>
    <col min="4" max="4" width="43.6640625" customWidth="1"/>
    <col min="5" max="5" width="12" customWidth="1"/>
    <col min="6" max="6" width="15.21875" customWidth="1"/>
  </cols>
  <sheetData>
    <row r="1" spans="2:8" x14ac:dyDescent="0.2">
      <c r="B1" s="1"/>
      <c r="C1" s="1"/>
      <c r="D1" s="157" t="s">
        <v>347</v>
      </c>
      <c r="E1" s="155" t="s">
        <v>342</v>
      </c>
      <c r="F1" s="156" t="s">
        <v>207</v>
      </c>
    </row>
    <row r="2" spans="2:8" ht="23.95" customHeight="1" x14ac:dyDescent="0.2">
      <c r="B2" s="1"/>
      <c r="C2" s="1"/>
      <c r="D2" s="158"/>
      <c r="E2" s="155"/>
      <c r="F2" s="156"/>
    </row>
    <row r="3" spans="2:8" ht="23.2" customHeight="1" thickBot="1" x14ac:dyDescent="0.25">
      <c r="B3" s="1"/>
      <c r="C3" s="62" t="s">
        <v>195</v>
      </c>
      <c r="D3" s="63" t="s">
        <v>120</v>
      </c>
      <c r="E3" s="62" t="s">
        <v>115</v>
      </c>
      <c r="F3" s="62" t="s">
        <v>360</v>
      </c>
      <c r="G3" s="62" t="s">
        <v>208</v>
      </c>
      <c r="H3" s="160" t="s">
        <v>550</v>
      </c>
    </row>
    <row r="4" spans="2:8" ht="13.15" x14ac:dyDescent="0.25">
      <c r="B4" s="1"/>
      <c r="C4" s="93" t="s">
        <v>156</v>
      </c>
      <c r="D4" s="107" t="s">
        <v>4</v>
      </c>
      <c r="E4" s="101">
        <v>200</v>
      </c>
      <c r="F4" s="99">
        <v>230</v>
      </c>
      <c r="G4" s="41" t="s">
        <v>402</v>
      </c>
    </row>
    <row r="5" spans="2:8" ht="13.15" x14ac:dyDescent="0.25">
      <c r="B5" s="1"/>
      <c r="C5" s="93" t="s">
        <v>156</v>
      </c>
      <c r="D5" s="107" t="s">
        <v>224</v>
      </c>
      <c r="E5" s="102">
        <v>190</v>
      </c>
      <c r="F5" s="99">
        <v>220</v>
      </c>
      <c r="G5" s="41" t="s">
        <v>403</v>
      </c>
      <c r="H5">
        <v>0</v>
      </c>
    </row>
    <row r="6" spans="2:8" ht="13.15" x14ac:dyDescent="0.25">
      <c r="B6" s="1"/>
      <c r="C6" s="93" t="s">
        <v>156</v>
      </c>
      <c r="D6" s="107" t="s">
        <v>435</v>
      </c>
      <c r="E6" s="103"/>
      <c r="F6" s="98"/>
      <c r="G6" s="41" t="s">
        <v>526</v>
      </c>
    </row>
    <row r="7" spans="2:8" ht="13.15" x14ac:dyDescent="0.25">
      <c r="B7" s="1"/>
      <c r="C7" s="93" t="s">
        <v>156</v>
      </c>
      <c r="D7" s="107" t="s">
        <v>6</v>
      </c>
      <c r="E7" s="102">
        <v>175</v>
      </c>
      <c r="F7" s="100">
        <f>200</f>
        <v>200</v>
      </c>
      <c r="G7" s="41" t="s">
        <v>402</v>
      </c>
    </row>
    <row r="8" spans="2:8" ht="13.15" x14ac:dyDescent="0.25">
      <c r="B8" s="1"/>
      <c r="C8" s="93" t="s">
        <v>156</v>
      </c>
      <c r="D8" s="107" t="s">
        <v>228</v>
      </c>
      <c r="E8" s="102">
        <v>70</v>
      </c>
      <c r="F8" s="100">
        <f>80</f>
        <v>80</v>
      </c>
      <c r="G8" s="41" t="s">
        <v>402</v>
      </c>
    </row>
    <row r="9" spans="2:8" ht="13.15" x14ac:dyDescent="0.25">
      <c r="B9" s="1"/>
      <c r="C9" s="93" t="s">
        <v>156</v>
      </c>
      <c r="D9" s="107" t="s">
        <v>229</v>
      </c>
      <c r="E9" s="102">
        <v>70</v>
      </c>
      <c r="F9" s="100">
        <f>80</f>
        <v>80</v>
      </c>
      <c r="G9" s="41" t="s">
        <v>402</v>
      </c>
    </row>
    <row r="10" spans="2:8" ht="13.15" x14ac:dyDescent="0.25">
      <c r="B10" s="1"/>
      <c r="C10" s="93" t="s">
        <v>156</v>
      </c>
      <c r="D10" s="107" t="s">
        <v>230</v>
      </c>
      <c r="E10" s="102">
        <v>70</v>
      </c>
      <c r="F10" s="100">
        <f>80</f>
        <v>80</v>
      </c>
      <c r="G10" s="41" t="s">
        <v>403</v>
      </c>
      <c r="H10">
        <v>0</v>
      </c>
    </row>
    <row r="11" spans="2:8" ht="13.15" x14ac:dyDescent="0.25">
      <c r="B11" s="1"/>
      <c r="C11" s="93" t="s">
        <v>156</v>
      </c>
      <c r="D11" s="107" t="s">
        <v>231</v>
      </c>
      <c r="E11" s="102">
        <v>70</v>
      </c>
      <c r="F11" s="100">
        <f>80</f>
        <v>80</v>
      </c>
      <c r="G11" s="41" t="s">
        <v>402</v>
      </c>
    </row>
    <row r="12" spans="2:8" ht="13.15" x14ac:dyDescent="0.25">
      <c r="B12" s="1"/>
      <c r="C12" s="93" t="s">
        <v>156</v>
      </c>
      <c r="D12" s="107" t="s">
        <v>232</v>
      </c>
      <c r="E12" s="102">
        <v>70</v>
      </c>
      <c r="F12" s="100">
        <f>80</f>
        <v>80</v>
      </c>
      <c r="G12" s="41" t="s">
        <v>402</v>
      </c>
    </row>
    <row r="13" spans="2:8" ht="13.15" x14ac:dyDescent="0.25">
      <c r="B13" s="1"/>
      <c r="C13" s="93" t="s">
        <v>156</v>
      </c>
      <c r="D13" s="107" t="s">
        <v>233</v>
      </c>
      <c r="E13" s="102">
        <v>70</v>
      </c>
      <c r="F13" s="100">
        <f>80</f>
        <v>80</v>
      </c>
      <c r="G13" s="41" t="s">
        <v>403</v>
      </c>
      <c r="H13">
        <v>0</v>
      </c>
    </row>
    <row r="14" spans="2:8" ht="13.15" x14ac:dyDescent="0.25">
      <c r="B14" s="1"/>
      <c r="C14" s="93" t="s">
        <v>156</v>
      </c>
      <c r="D14" s="107" t="s">
        <v>234</v>
      </c>
      <c r="E14" s="102">
        <v>70</v>
      </c>
      <c r="F14" s="100">
        <f>80</f>
        <v>80</v>
      </c>
      <c r="G14" s="41" t="s">
        <v>402</v>
      </c>
    </row>
    <row r="15" spans="2:8" ht="13.15" x14ac:dyDescent="0.25">
      <c r="B15" s="1"/>
      <c r="C15" s="93" t="s">
        <v>156</v>
      </c>
      <c r="D15" s="107" t="s">
        <v>235</v>
      </c>
      <c r="E15" s="102">
        <v>70</v>
      </c>
      <c r="F15" s="100">
        <f>80</f>
        <v>80</v>
      </c>
      <c r="G15" s="41" t="s">
        <v>402</v>
      </c>
    </row>
    <row r="16" spans="2:8" ht="13.15" x14ac:dyDescent="0.25">
      <c r="B16" s="1"/>
      <c r="C16" s="93" t="s">
        <v>156</v>
      </c>
      <c r="D16" s="107" t="s">
        <v>236</v>
      </c>
      <c r="E16" s="102">
        <v>70</v>
      </c>
      <c r="F16" s="100">
        <f>80</f>
        <v>80</v>
      </c>
      <c r="G16" s="41" t="s">
        <v>402</v>
      </c>
    </row>
    <row r="17" spans="2:8" ht="13.15" x14ac:dyDescent="0.25">
      <c r="B17" s="1"/>
      <c r="C17" s="93" t="s">
        <v>156</v>
      </c>
      <c r="D17" s="107" t="s">
        <v>404</v>
      </c>
      <c r="E17" s="102">
        <v>150</v>
      </c>
      <c r="F17" s="100">
        <v>175</v>
      </c>
      <c r="G17" s="41" t="s">
        <v>402</v>
      </c>
    </row>
    <row r="18" spans="2:8" ht="13.15" x14ac:dyDescent="0.25">
      <c r="B18" s="1"/>
      <c r="C18" s="93" t="s">
        <v>156</v>
      </c>
      <c r="D18" s="107" t="s">
        <v>405</v>
      </c>
      <c r="E18" s="102">
        <v>150</v>
      </c>
      <c r="F18" s="100">
        <v>175</v>
      </c>
      <c r="G18" s="41" t="s">
        <v>402</v>
      </c>
    </row>
    <row r="19" spans="2:8" ht="13.15" x14ac:dyDescent="0.25">
      <c r="B19" s="1"/>
      <c r="C19" s="93" t="s">
        <v>156</v>
      </c>
      <c r="D19" s="107" t="s">
        <v>406</v>
      </c>
      <c r="E19" s="102">
        <v>150</v>
      </c>
      <c r="F19" s="100">
        <v>175</v>
      </c>
      <c r="G19" s="41" t="s">
        <v>402</v>
      </c>
    </row>
    <row r="20" spans="2:8" ht="13.15" x14ac:dyDescent="0.25">
      <c r="B20" s="1"/>
      <c r="C20" s="93" t="s">
        <v>156</v>
      </c>
      <c r="D20" s="107" t="s">
        <v>117</v>
      </c>
      <c r="E20" s="102">
        <v>175</v>
      </c>
      <c r="F20" s="100">
        <v>200</v>
      </c>
      <c r="G20" s="41" t="s">
        <v>402</v>
      </c>
    </row>
    <row r="21" spans="2:8" ht="13.15" x14ac:dyDescent="0.25">
      <c r="B21" s="1"/>
      <c r="C21" s="93" t="s">
        <v>156</v>
      </c>
      <c r="D21" s="107" t="s">
        <v>408</v>
      </c>
      <c r="E21" s="102">
        <v>175</v>
      </c>
      <c r="F21" s="100">
        <v>200</v>
      </c>
      <c r="G21" s="41" t="s">
        <v>403</v>
      </c>
      <c r="H21">
        <v>0</v>
      </c>
    </row>
    <row r="22" spans="2:8" ht="13.15" x14ac:dyDescent="0.25">
      <c r="B22" s="1"/>
      <c r="C22" s="93" t="s">
        <v>156</v>
      </c>
      <c r="D22" s="107" t="s">
        <v>407</v>
      </c>
      <c r="E22" s="102">
        <v>175</v>
      </c>
      <c r="F22" s="100">
        <v>200</v>
      </c>
      <c r="G22" s="41" t="s">
        <v>402</v>
      </c>
    </row>
    <row r="23" spans="2:8" ht="13.15" x14ac:dyDescent="0.25">
      <c r="B23" s="1"/>
      <c r="C23" s="93" t="s">
        <v>156</v>
      </c>
      <c r="D23" s="107" t="s">
        <v>409</v>
      </c>
      <c r="E23" s="102">
        <v>175</v>
      </c>
      <c r="F23" s="100">
        <v>200</v>
      </c>
      <c r="G23" s="41" t="s">
        <v>402</v>
      </c>
    </row>
    <row r="24" spans="2:8" ht="13.15" x14ac:dyDescent="0.25">
      <c r="B24" s="1"/>
      <c r="C24" s="93" t="s">
        <v>156</v>
      </c>
      <c r="D24" s="107" t="s">
        <v>410</v>
      </c>
      <c r="E24" s="102">
        <v>175</v>
      </c>
      <c r="F24" s="100">
        <v>200</v>
      </c>
      <c r="G24" s="41" t="s">
        <v>402</v>
      </c>
    </row>
    <row r="25" spans="2:8" ht="13.15" x14ac:dyDescent="0.25">
      <c r="B25" s="1"/>
      <c r="C25" s="93" t="s">
        <v>156</v>
      </c>
      <c r="D25" s="107" t="s">
        <v>318</v>
      </c>
      <c r="E25" s="102">
        <v>250</v>
      </c>
      <c r="F25" s="100">
        <v>300</v>
      </c>
      <c r="G25" s="41" t="s">
        <v>402</v>
      </c>
    </row>
    <row r="26" spans="2:8" ht="13.15" x14ac:dyDescent="0.25">
      <c r="B26" s="1"/>
      <c r="C26" s="93" t="s">
        <v>156</v>
      </c>
      <c r="D26" s="107" t="s">
        <v>442</v>
      </c>
      <c r="E26" s="102">
        <v>250</v>
      </c>
      <c r="F26" s="100">
        <v>300</v>
      </c>
      <c r="G26" s="41" t="s">
        <v>402</v>
      </c>
    </row>
    <row r="27" spans="2:8" ht="13.15" x14ac:dyDescent="0.25">
      <c r="B27" s="1"/>
      <c r="C27" s="93" t="s">
        <v>156</v>
      </c>
      <c r="D27" s="107" t="s">
        <v>320</v>
      </c>
      <c r="E27" s="102">
        <v>250</v>
      </c>
      <c r="F27" s="100">
        <v>300</v>
      </c>
      <c r="G27" s="41" t="s">
        <v>402</v>
      </c>
    </row>
    <row r="28" spans="2:8" x14ac:dyDescent="0.2">
      <c r="B28" s="1"/>
      <c r="C28" s="69" t="s">
        <v>196</v>
      </c>
      <c r="D28" s="107" t="s">
        <v>321</v>
      </c>
      <c r="E28" s="102">
        <v>250</v>
      </c>
      <c r="F28" s="100">
        <v>300</v>
      </c>
      <c r="G28" s="41" t="s">
        <v>402</v>
      </c>
    </row>
    <row r="29" spans="2:8" ht="13.15" x14ac:dyDescent="0.25">
      <c r="B29" s="1"/>
      <c r="C29" s="93" t="s">
        <v>156</v>
      </c>
      <c r="D29" s="107" t="s">
        <v>348</v>
      </c>
      <c r="E29" s="102">
        <v>250</v>
      </c>
      <c r="F29" s="100">
        <v>300</v>
      </c>
      <c r="G29" s="41" t="s">
        <v>403</v>
      </c>
      <c r="H29">
        <v>0</v>
      </c>
    </row>
    <row r="30" spans="2:8" ht="13.15" x14ac:dyDescent="0.25">
      <c r="B30" s="1"/>
      <c r="C30" s="93" t="s">
        <v>156</v>
      </c>
      <c r="D30" s="107" t="s">
        <v>349</v>
      </c>
      <c r="E30" s="102">
        <v>250</v>
      </c>
      <c r="F30" s="100">
        <v>300</v>
      </c>
      <c r="G30" s="41" t="s">
        <v>402</v>
      </c>
    </row>
    <row r="31" spans="2:8" ht="13.15" x14ac:dyDescent="0.25">
      <c r="B31" s="1"/>
      <c r="C31" s="93" t="s">
        <v>156</v>
      </c>
      <c r="D31" s="107" t="s">
        <v>322</v>
      </c>
      <c r="E31" s="102">
        <v>250</v>
      </c>
      <c r="F31" s="100">
        <v>300</v>
      </c>
      <c r="G31" s="41" t="s">
        <v>402</v>
      </c>
    </row>
    <row r="32" spans="2:8" x14ac:dyDescent="0.2">
      <c r="B32" s="1"/>
      <c r="C32" s="69" t="s">
        <v>196</v>
      </c>
      <c r="D32" s="107" t="s">
        <v>323</v>
      </c>
      <c r="E32" s="102">
        <v>250</v>
      </c>
      <c r="F32" s="100">
        <v>300</v>
      </c>
      <c r="G32" s="41" t="s">
        <v>402</v>
      </c>
    </row>
    <row r="33" spans="2:8" ht="13.15" x14ac:dyDescent="0.25">
      <c r="B33" s="1"/>
      <c r="C33" s="93" t="s">
        <v>156</v>
      </c>
      <c r="D33" s="107" t="s">
        <v>325</v>
      </c>
      <c r="E33" s="102">
        <v>250</v>
      </c>
      <c r="F33" s="100">
        <v>300</v>
      </c>
      <c r="G33" s="41" t="s">
        <v>402</v>
      </c>
    </row>
    <row r="34" spans="2:8" ht="13.15" x14ac:dyDescent="0.25">
      <c r="B34" s="1"/>
      <c r="C34" s="93" t="s">
        <v>156</v>
      </c>
      <c r="D34" s="107" t="s">
        <v>443</v>
      </c>
      <c r="E34" s="102">
        <v>250</v>
      </c>
      <c r="F34" s="100">
        <v>300</v>
      </c>
      <c r="G34" s="41" t="s">
        <v>402</v>
      </c>
    </row>
    <row r="35" spans="2:8" ht="13.15" x14ac:dyDescent="0.25">
      <c r="B35" s="1"/>
      <c r="C35" s="93" t="s">
        <v>156</v>
      </c>
      <c r="D35" s="107" t="s">
        <v>327</v>
      </c>
      <c r="E35" s="102">
        <v>250</v>
      </c>
      <c r="F35" s="100">
        <v>300</v>
      </c>
      <c r="G35" s="41" t="s">
        <v>402</v>
      </c>
    </row>
    <row r="36" spans="2:8" ht="13.15" x14ac:dyDescent="0.25">
      <c r="B36" s="1"/>
      <c r="C36" s="93" t="s">
        <v>156</v>
      </c>
      <c r="D36" s="107" t="s">
        <v>444</v>
      </c>
      <c r="E36" s="102">
        <v>250</v>
      </c>
      <c r="F36" s="100">
        <v>300</v>
      </c>
      <c r="G36" s="41" t="s">
        <v>402</v>
      </c>
    </row>
    <row r="37" spans="2:8" ht="25.05" x14ac:dyDescent="0.2">
      <c r="B37" s="1"/>
      <c r="C37" s="140" t="s">
        <v>156</v>
      </c>
      <c r="D37" s="107" t="s">
        <v>445</v>
      </c>
      <c r="E37" s="168">
        <v>250</v>
      </c>
      <c r="F37" s="169">
        <v>300</v>
      </c>
      <c r="G37" s="147" t="s">
        <v>402</v>
      </c>
    </row>
    <row r="38" spans="2:8" ht="13.15" x14ac:dyDescent="0.25">
      <c r="B38" s="1"/>
      <c r="C38" s="93" t="s">
        <v>156</v>
      </c>
      <c r="D38" s="107" t="s">
        <v>446</v>
      </c>
      <c r="E38" s="102">
        <v>250</v>
      </c>
      <c r="F38" s="100">
        <v>300</v>
      </c>
      <c r="G38" s="41" t="s">
        <v>403</v>
      </c>
      <c r="H38">
        <v>0</v>
      </c>
    </row>
    <row r="39" spans="2:8" ht="13.15" x14ac:dyDescent="0.25">
      <c r="B39" s="1"/>
      <c r="C39" s="93" t="s">
        <v>156</v>
      </c>
      <c r="D39" s="107" t="s">
        <v>332</v>
      </c>
      <c r="E39" s="102">
        <v>250</v>
      </c>
      <c r="F39" s="100">
        <v>300</v>
      </c>
      <c r="G39" s="41" t="s">
        <v>403</v>
      </c>
      <c r="H39">
        <v>0</v>
      </c>
    </row>
    <row r="40" spans="2:8" ht="13.15" x14ac:dyDescent="0.25">
      <c r="B40" s="1"/>
      <c r="C40" s="93" t="s">
        <v>156</v>
      </c>
      <c r="D40" s="107" t="s">
        <v>447</v>
      </c>
      <c r="E40" s="102">
        <v>250</v>
      </c>
      <c r="F40" s="100">
        <v>300</v>
      </c>
      <c r="G40" s="41" t="s">
        <v>402</v>
      </c>
    </row>
    <row r="41" spans="2:8" ht="13.15" x14ac:dyDescent="0.25">
      <c r="B41" s="1"/>
      <c r="C41" s="93" t="s">
        <v>156</v>
      </c>
      <c r="D41" s="107" t="s">
        <v>448</v>
      </c>
      <c r="E41" s="103">
        <v>200</v>
      </c>
      <c r="F41" s="98"/>
      <c r="G41" s="41" t="s">
        <v>402</v>
      </c>
    </row>
    <row r="42" spans="2:8" x14ac:dyDescent="0.2">
      <c r="B42" s="1"/>
      <c r="C42" s="69" t="s">
        <v>196</v>
      </c>
      <c r="D42" s="107" t="s">
        <v>495</v>
      </c>
      <c r="E42" s="102">
        <v>450</v>
      </c>
      <c r="F42" s="100">
        <v>550</v>
      </c>
      <c r="G42" s="41" t="s">
        <v>403</v>
      </c>
      <c r="H42">
        <v>0</v>
      </c>
    </row>
    <row r="43" spans="2:8" x14ac:dyDescent="0.2">
      <c r="B43" s="1"/>
      <c r="C43" s="69" t="s">
        <v>196</v>
      </c>
      <c r="D43" s="107" t="s">
        <v>496</v>
      </c>
      <c r="E43" s="102">
        <v>450</v>
      </c>
      <c r="F43" s="100">
        <v>550</v>
      </c>
      <c r="G43" s="41" t="s">
        <v>402</v>
      </c>
      <c r="H43">
        <v>1</v>
      </c>
    </row>
    <row r="44" spans="2:8" ht="12.55" customHeight="1" x14ac:dyDescent="0.2">
      <c r="B44" s="1"/>
      <c r="C44" s="69" t="s">
        <v>196</v>
      </c>
      <c r="D44" s="107" t="s">
        <v>498</v>
      </c>
      <c r="E44" s="102">
        <v>450</v>
      </c>
      <c r="F44" s="100">
        <v>550</v>
      </c>
      <c r="G44" s="41" t="s">
        <v>403</v>
      </c>
      <c r="H44">
        <v>0</v>
      </c>
    </row>
    <row r="45" spans="2:8" x14ac:dyDescent="0.2">
      <c r="B45" s="1"/>
      <c r="C45" s="69" t="s">
        <v>196</v>
      </c>
      <c r="D45" s="107" t="s">
        <v>497</v>
      </c>
      <c r="E45" s="102">
        <v>450</v>
      </c>
      <c r="F45" s="100">
        <v>550</v>
      </c>
      <c r="G45" s="41" t="s">
        <v>402</v>
      </c>
      <c r="H45">
        <v>1</v>
      </c>
    </row>
    <row r="46" spans="2:8" ht="13.15" x14ac:dyDescent="0.2">
      <c r="B46" s="1"/>
      <c r="C46" s="140" t="s">
        <v>156</v>
      </c>
      <c r="D46" s="107" t="s">
        <v>492</v>
      </c>
      <c r="E46" s="104">
        <v>150</v>
      </c>
      <c r="F46" s="108">
        <f>200</f>
        <v>200</v>
      </c>
      <c r="G46" s="41" t="s">
        <v>402</v>
      </c>
    </row>
    <row r="47" spans="2:8" ht="13.15" x14ac:dyDescent="0.2">
      <c r="B47" s="1"/>
      <c r="C47" s="140" t="s">
        <v>156</v>
      </c>
      <c r="D47" s="107" t="s">
        <v>491</v>
      </c>
      <c r="E47" s="104">
        <v>150</v>
      </c>
      <c r="F47" s="108">
        <f>200</f>
        <v>200</v>
      </c>
      <c r="G47" s="41" t="s">
        <v>402</v>
      </c>
    </row>
    <row r="48" spans="2:8" ht="13.15" x14ac:dyDescent="0.2">
      <c r="B48" s="1"/>
      <c r="C48" s="140" t="s">
        <v>156</v>
      </c>
      <c r="D48" s="107" t="s">
        <v>490</v>
      </c>
      <c r="E48" s="104">
        <v>150</v>
      </c>
      <c r="F48" s="108">
        <f>200</f>
        <v>200</v>
      </c>
      <c r="G48" s="41" t="s">
        <v>402</v>
      </c>
    </row>
    <row r="49" spans="2:8" ht="13.15" x14ac:dyDescent="0.2">
      <c r="B49" s="1"/>
      <c r="C49" s="140" t="s">
        <v>156</v>
      </c>
      <c r="D49" s="107" t="s">
        <v>489</v>
      </c>
      <c r="E49" s="104">
        <v>150</v>
      </c>
      <c r="F49" s="108">
        <f>200</f>
        <v>200</v>
      </c>
      <c r="G49" s="41" t="s">
        <v>402</v>
      </c>
    </row>
    <row r="50" spans="2:8" ht="13.15" x14ac:dyDescent="0.2">
      <c r="B50" s="1"/>
      <c r="C50" s="140" t="s">
        <v>156</v>
      </c>
      <c r="D50" s="107" t="s">
        <v>488</v>
      </c>
      <c r="E50" s="104">
        <v>150</v>
      </c>
      <c r="F50" s="108">
        <f>200</f>
        <v>200</v>
      </c>
      <c r="G50" s="41" t="s">
        <v>402</v>
      </c>
    </row>
    <row r="51" spans="2:8" ht="13.15" x14ac:dyDescent="0.2">
      <c r="B51" s="1"/>
      <c r="C51" s="140" t="s">
        <v>156</v>
      </c>
      <c r="D51" s="107" t="s">
        <v>487</v>
      </c>
      <c r="E51" s="104">
        <v>150</v>
      </c>
      <c r="F51" s="108">
        <f>200</f>
        <v>200</v>
      </c>
      <c r="G51" s="41" t="s">
        <v>402</v>
      </c>
    </row>
    <row r="52" spans="2:8" ht="13.15" x14ac:dyDescent="0.2">
      <c r="B52" s="1"/>
      <c r="C52" s="140" t="s">
        <v>156</v>
      </c>
      <c r="D52" s="107" t="s">
        <v>486</v>
      </c>
      <c r="E52" s="104">
        <v>150</v>
      </c>
      <c r="F52" s="108">
        <f>200</f>
        <v>200</v>
      </c>
      <c r="G52" s="41" t="s">
        <v>402</v>
      </c>
    </row>
    <row r="53" spans="2:8" ht="13.15" x14ac:dyDescent="0.2">
      <c r="B53" s="1"/>
      <c r="C53" s="140" t="s">
        <v>156</v>
      </c>
      <c r="D53" s="107" t="s">
        <v>483</v>
      </c>
      <c r="E53" s="104">
        <v>150</v>
      </c>
      <c r="F53" s="108">
        <f>200</f>
        <v>200</v>
      </c>
      <c r="G53" s="41" t="s">
        <v>402</v>
      </c>
    </row>
    <row r="54" spans="2:8" x14ac:dyDescent="0.2">
      <c r="B54" s="1"/>
      <c r="C54" s="70" t="s">
        <v>196</v>
      </c>
      <c r="D54" s="107" t="s">
        <v>484</v>
      </c>
      <c r="E54" s="104">
        <v>200</v>
      </c>
      <c r="F54" s="92"/>
      <c r="G54" s="41" t="s">
        <v>402</v>
      </c>
    </row>
    <row r="55" spans="2:8" x14ac:dyDescent="0.2">
      <c r="B55" s="1"/>
      <c r="C55" s="70" t="s">
        <v>196</v>
      </c>
      <c r="D55" s="107" t="s">
        <v>485</v>
      </c>
      <c r="E55" s="104">
        <v>200</v>
      </c>
      <c r="F55" s="92"/>
      <c r="G55" s="41" t="s">
        <v>402</v>
      </c>
    </row>
    <row r="56" spans="2:8" x14ac:dyDescent="0.2">
      <c r="B56" s="1"/>
      <c r="C56" s="70" t="s">
        <v>196</v>
      </c>
      <c r="D56" s="107" t="s">
        <v>482</v>
      </c>
      <c r="E56" s="104">
        <v>200</v>
      </c>
      <c r="F56" s="92"/>
      <c r="G56" s="41" t="s">
        <v>402</v>
      </c>
    </row>
    <row r="57" spans="2:8" x14ac:dyDescent="0.2">
      <c r="B57" s="1"/>
      <c r="C57" s="70" t="s">
        <v>196</v>
      </c>
      <c r="D57" s="107" t="s">
        <v>480</v>
      </c>
      <c r="E57" s="104">
        <v>200</v>
      </c>
      <c r="F57" s="92"/>
      <c r="G57" s="41" t="s">
        <v>403</v>
      </c>
      <c r="H57">
        <v>0</v>
      </c>
    </row>
    <row r="58" spans="2:8" x14ac:dyDescent="0.2">
      <c r="B58" s="1"/>
      <c r="C58" s="70" t="s">
        <v>196</v>
      </c>
      <c r="D58" s="107" t="s">
        <v>481</v>
      </c>
      <c r="E58" s="104">
        <v>200</v>
      </c>
      <c r="F58" s="92"/>
      <c r="G58" s="41" t="s">
        <v>526</v>
      </c>
    </row>
    <row r="59" spans="2:8" x14ac:dyDescent="0.2">
      <c r="B59" s="1"/>
      <c r="C59" s="70" t="s">
        <v>196</v>
      </c>
      <c r="D59" s="107" t="s">
        <v>479</v>
      </c>
      <c r="E59" s="104">
        <v>200</v>
      </c>
      <c r="F59" s="98">
        <v>250</v>
      </c>
      <c r="G59" s="41" t="s">
        <v>402</v>
      </c>
    </row>
    <row r="60" spans="2:8" x14ac:dyDescent="0.2">
      <c r="B60" s="1"/>
      <c r="C60" s="70" t="s">
        <v>196</v>
      </c>
      <c r="D60" s="107" t="s">
        <v>478</v>
      </c>
      <c r="E60" s="104">
        <v>200</v>
      </c>
      <c r="F60" s="98">
        <v>250</v>
      </c>
      <c r="G60" s="41" t="s">
        <v>402</v>
      </c>
    </row>
    <row r="61" spans="2:8" x14ac:dyDescent="0.2">
      <c r="B61" s="1"/>
      <c r="C61" s="70" t="s">
        <v>196</v>
      </c>
      <c r="D61" s="107" t="s">
        <v>477</v>
      </c>
      <c r="E61" s="104">
        <v>200</v>
      </c>
      <c r="F61" s="92"/>
      <c r="G61" s="41" t="s">
        <v>402</v>
      </c>
    </row>
    <row r="62" spans="2:8" x14ac:dyDescent="0.2">
      <c r="B62" s="1"/>
      <c r="C62" s="70" t="s">
        <v>196</v>
      </c>
      <c r="D62" s="107" t="s">
        <v>476</v>
      </c>
      <c r="E62" s="104">
        <v>200</v>
      </c>
      <c r="F62" s="92"/>
      <c r="G62" s="41" t="s">
        <v>402</v>
      </c>
    </row>
    <row r="63" spans="2:8" x14ac:dyDescent="0.2">
      <c r="B63" s="1"/>
      <c r="C63" s="70" t="s">
        <v>196</v>
      </c>
      <c r="D63" s="107" t="s">
        <v>475</v>
      </c>
      <c r="E63" s="104">
        <v>200</v>
      </c>
      <c r="F63" s="92"/>
      <c r="G63" s="41" t="s">
        <v>402</v>
      </c>
    </row>
    <row r="64" spans="2:8" x14ac:dyDescent="0.2">
      <c r="B64" s="1"/>
      <c r="C64" s="70" t="s">
        <v>196</v>
      </c>
      <c r="D64" s="107" t="s">
        <v>474</v>
      </c>
      <c r="E64" s="104">
        <v>200</v>
      </c>
      <c r="F64" s="92"/>
      <c r="G64" s="41" t="s">
        <v>402</v>
      </c>
    </row>
    <row r="65" spans="2:8" x14ac:dyDescent="0.2">
      <c r="B65" s="1"/>
      <c r="C65" s="70" t="s">
        <v>196</v>
      </c>
      <c r="D65" s="107" t="s">
        <v>473</v>
      </c>
      <c r="E65" s="104">
        <v>200</v>
      </c>
      <c r="F65" s="92"/>
      <c r="G65" s="41" t="s">
        <v>402</v>
      </c>
    </row>
    <row r="66" spans="2:8" x14ac:dyDescent="0.2">
      <c r="B66" s="1"/>
      <c r="C66" s="70" t="s">
        <v>196</v>
      </c>
      <c r="D66" s="107" t="s">
        <v>494</v>
      </c>
      <c r="E66" s="104">
        <v>200</v>
      </c>
      <c r="F66" s="92"/>
      <c r="G66" s="41" t="s">
        <v>402</v>
      </c>
    </row>
    <row r="67" spans="2:8" ht="12.55" customHeight="1" x14ac:dyDescent="0.2">
      <c r="B67" s="1"/>
      <c r="C67" s="70" t="s">
        <v>196</v>
      </c>
      <c r="D67" s="146" t="s">
        <v>493</v>
      </c>
      <c r="E67" s="104">
        <v>200</v>
      </c>
      <c r="F67" s="92"/>
      <c r="G67" s="41" t="s">
        <v>402</v>
      </c>
    </row>
    <row r="68" spans="2:8" ht="12.55" customHeight="1" x14ac:dyDescent="0.2">
      <c r="B68" s="1"/>
      <c r="C68" s="72" t="s">
        <v>196</v>
      </c>
      <c r="D68" s="107" t="s">
        <v>411</v>
      </c>
      <c r="E68" s="104">
        <v>200</v>
      </c>
      <c r="F68" s="98">
        <v>300</v>
      </c>
      <c r="G68" s="41" t="s">
        <v>402</v>
      </c>
    </row>
    <row r="69" spans="2:8" ht="12.55" customHeight="1" x14ac:dyDescent="0.2">
      <c r="B69" s="1"/>
      <c r="C69" s="72" t="s">
        <v>196</v>
      </c>
      <c r="D69" s="107" t="s">
        <v>412</v>
      </c>
      <c r="E69" s="104">
        <v>200</v>
      </c>
      <c r="F69" s="92"/>
      <c r="G69" s="41" t="s">
        <v>402</v>
      </c>
    </row>
    <row r="70" spans="2:8" ht="12.55" customHeight="1" x14ac:dyDescent="0.2">
      <c r="B70" s="1"/>
      <c r="C70" s="72" t="s">
        <v>196</v>
      </c>
      <c r="D70" s="107" t="s">
        <v>413</v>
      </c>
      <c r="E70" s="104">
        <v>250</v>
      </c>
      <c r="F70" s="92"/>
      <c r="G70" s="41" t="s">
        <v>526</v>
      </c>
    </row>
    <row r="71" spans="2:8" ht="12.55" customHeight="1" x14ac:dyDescent="0.2">
      <c r="B71" s="1"/>
      <c r="C71" s="72" t="s">
        <v>196</v>
      </c>
      <c r="D71" s="107" t="s">
        <v>414</v>
      </c>
      <c r="E71" s="104">
        <v>250</v>
      </c>
      <c r="F71" s="92"/>
      <c r="G71" s="41" t="s">
        <v>526</v>
      </c>
    </row>
    <row r="72" spans="2:8" ht="12.55" customHeight="1" x14ac:dyDescent="0.2">
      <c r="B72" s="1"/>
      <c r="C72" s="72" t="s">
        <v>196</v>
      </c>
      <c r="D72" s="107" t="s">
        <v>415</v>
      </c>
      <c r="E72" s="104">
        <v>250</v>
      </c>
      <c r="F72" s="92"/>
      <c r="G72" s="41" t="s">
        <v>526</v>
      </c>
    </row>
    <row r="73" spans="2:8" x14ac:dyDescent="0.2">
      <c r="B73" s="1"/>
      <c r="C73" s="72" t="s">
        <v>196</v>
      </c>
      <c r="D73" s="107" t="s">
        <v>416</v>
      </c>
      <c r="E73" s="104">
        <v>250</v>
      </c>
      <c r="F73" s="92"/>
      <c r="G73" s="41" t="s">
        <v>526</v>
      </c>
    </row>
    <row r="74" spans="2:8" x14ac:dyDescent="0.2">
      <c r="B74" s="1"/>
      <c r="C74" s="66" t="s">
        <v>196</v>
      </c>
      <c r="D74" s="107" t="s">
        <v>417</v>
      </c>
      <c r="E74" s="104">
        <v>300</v>
      </c>
      <c r="F74" s="98"/>
      <c r="G74" s="41" t="s">
        <v>526</v>
      </c>
    </row>
    <row r="75" spans="2:8" x14ac:dyDescent="0.2">
      <c r="B75" s="1"/>
      <c r="C75" s="66" t="s">
        <v>196</v>
      </c>
      <c r="D75" s="107" t="s">
        <v>418</v>
      </c>
      <c r="E75" s="104">
        <v>300</v>
      </c>
      <c r="F75" s="92"/>
      <c r="G75" s="41" t="s">
        <v>526</v>
      </c>
    </row>
    <row r="76" spans="2:8" x14ac:dyDescent="0.2">
      <c r="B76" s="1"/>
      <c r="C76" s="66" t="s">
        <v>196</v>
      </c>
      <c r="D76" s="107" t="s">
        <v>419</v>
      </c>
      <c r="E76" s="104">
        <v>300</v>
      </c>
      <c r="F76" s="98">
        <v>150</v>
      </c>
      <c r="G76" s="41" t="s">
        <v>403</v>
      </c>
      <c r="H76">
        <v>0</v>
      </c>
    </row>
    <row r="77" spans="2:8" x14ac:dyDescent="0.2">
      <c r="B77" s="1"/>
      <c r="C77" s="66" t="s">
        <v>196</v>
      </c>
      <c r="D77" s="107" t="s">
        <v>420</v>
      </c>
      <c r="E77" s="104">
        <v>300</v>
      </c>
      <c r="F77" s="98">
        <v>150</v>
      </c>
      <c r="G77" s="41" t="s">
        <v>402</v>
      </c>
      <c r="H77">
        <v>1</v>
      </c>
    </row>
    <row r="78" spans="2:8" x14ac:dyDescent="0.2">
      <c r="B78" s="1"/>
      <c r="C78" s="66" t="s">
        <v>196</v>
      </c>
      <c r="D78" s="107" t="s">
        <v>502</v>
      </c>
      <c r="E78" s="103">
        <v>0</v>
      </c>
      <c r="F78" s="98"/>
      <c r="G78" s="41" t="s">
        <v>526</v>
      </c>
    </row>
    <row r="79" spans="2:8" x14ac:dyDescent="0.2">
      <c r="B79" s="1"/>
      <c r="C79" s="66" t="s">
        <v>196</v>
      </c>
      <c r="D79" s="107" t="s">
        <v>503</v>
      </c>
      <c r="E79" s="103">
        <v>0</v>
      </c>
      <c r="F79" s="98"/>
      <c r="G79" s="41" t="s">
        <v>526</v>
      </c>
    </row>
    <row r="80" spans="2:8" x14ac:dyDescent="0.2">
      <c r="B80" s="1"/>
      <c r="C80" s="66" t="s">
        <v>196</v>
      </c>
      <c r="D80" s="107" t="s">
        <v>504</v>
      </c>
      <c r="E80" s="103">
        <v>0</v>
      </c>
      <c r="F80" s="98"/>
      <c r="G80" s="41" t="s">
        <v>526</v>
      </c>
    </row>
    <row r="81" spans="2:8" x14ac:dyDescent="0.2">
      <c r="B81" s="1"/>
      <c r="C81" s="66" t="s">
        <v>196</v>
      </c>
      <c r="D81" s="107" t="s">
        <v>505</v>
      </c>
      <c r="E81" s="103">
        <v>0</v>
      </c>
      <c r="F81" s="98"/>
      <c r="G81" s="41" t="s">
        <v>526</v>
      </c>
    </row>
    <row r="82" spans="2:8" x14ac:dyDescent="0.2">
      <c r="B82" s="1"/>
      <c r="C82" s="66" t="s">
        <v>196</v>
      </c>
      <c r="D82" s="107" t="s">
        <v>517</v>
      </c>
      <c r="E82" s="103">
        <v>0</v>
      </c>
      <c r="F82" s="98"/>
      <c r="G82" s="41" t="s">
        <v>526</v>
      </c>
    </row>
    <row r="83" spans="2:8" x14ac:dyDescent="0.2">
      <c r="B83" s="1"/>
      <c r="C83" s="66" t="s">
        <v>196</v>
      </c>
      <c r="D83" s="107" t="s">
        <v>506</v>
      </c>
      <c r="E83" s="103">
        <v>1200</v>
      </c>
      <c r="F83" s="98"/>
      <c r="G83" s="41" t="s">
        <v>526</v>
      </c>
    </row>
    <row r="84" spans="2:8" x14ac:dyDescent="0.2">
      <c r="B84" s="1"/>
      <c r="C84" s="66" t="s">
        <v>196</v>
      </c>
      <c r="D84" s="107" t="s">
        <v>507</v>
      </c>
      <c r="E84" s="103">
        <v>0</v>
      </c>
      <c r="F84" s="98"/>
      <c r="G84" s="41" t="s">
        <v>526</v>
      </c>
    </row>
    <row r="85" spans="2:8" x14ac:dyDescent="0.2">
      <c r="B85" s="1"/>
      <c r="C85" s="66" t="s">
        <v>196</v>
      </c>
      <c r="D85" s="107" t="s">
        <v>508</v>
      </c>
      <c r="E85" s="103">
        <v>1200</v>
      </c>
      <c r="F85" s="92"/>
      <c r="G85" s="41" t="s">
        <v>526</v>
      </c>
    </row>
    <row r="86" spans="2:8" x14ac:dyDescent="0.2">
      <c r="B86" s="1"/>
      <c r="C86" s="66" t="s">
        <v>196</v>
      </c>
      <c r="D86" s="144" t="s">
        <v>398</v>
      </c>
      <c r="E86" s="103">
        <v>950</v>
      </c>
      <c r="F86" s="92"/>
      <c r="G86" s="41" t="s">
        <v>526</v>
      </c>
    </row>
    <row r="87" spans="2:8" x14ac:dyDescent="0.2">
      <c r="B87" s="1"/>
      <c r="C87" s="66" t="s">
        <v>196</v>
      </c>
      <c r="D87" s="144" t="s">
        <v>371</v>
      </c>
      <c r="E87" s="103">
        <v>950</v>
      </c>
      <c r="F87" s="92"/>
      <c r="G87" s="41" t="s">
        <v>403</v>
      </c>
      <c r="H87">
        <v>0</v>
      </c>
    </row>
    <row r="88" spans="2:8" x14ac:dyDescent="0.2">
      <c r="B88" s="1"/>
      <c r="C88" s="66" t="s">
        <v>196</v>
      </c>
      <c r="D88" s="144" t="s">
        <v>511</v>
      </c>
      <c r="E88" s="103">
        <v>950</v>
      </c>
      <c r="F88" s="92"/>
      <c r="G88" s="41" t="s">
        <v>403</v>
      </c>
      <c r="H88">
        <v>0</v>
      </c>
    </row>
    <row r="89" spans="2:8" x14ac:dyDescent="0.2">
      <c r="B89" s="1"/>
      <c r="C89" s="66" t="s">
        <v>196</v>
      </c>
      <c r="D89" s="144" t="s">
        <v>365</v>
      </c>
      <c r="E89" s="103">
        <v>950</v>
      </c>
      <c r="F89" s="92"/>
      <c r="G89" s="41" t="s">
        <v>402</v>
      </c>
    </row>
    <row r="90" spans="2:8" x14ac:dyDescent="0.2">
      <c r="B90" s="1"/>
      <c r="C90" s="66" t="s">
        <v>196</v>
      </c>
      <c r="D90" s="144" t="s">
        <v>367</v>
      </c>
      <c r="E90" s="103">
        <v>1200</v>
      </c>
      <c r="F90" s="92"/>
      <c r="G90" s="41" t="s">
        <v>402</v>
      </c>
    </row>
    <row r="91" spans="2:8" x14ac:dyDescent="0.2">
      <c r="B91" s="1"/>
      <c r="C91" s="66" t="s">
        <v>196</v>
      </c>
      <c r="D91" s="144" t="s">
        <v>509</v>
      </c>
      <c r="E91" s="103">
        <v>0</v>
      </c>
      <c r="F91" s="98"/>
      <c r="G91" s="41" t="s">
        <v>526</v>
      </c>
    </row>
    <row r="92" spans="2:8" x14ac:dyDescent="0.2">
      <c r="B92" s="1"/>
      <c r="C92" s="66" t="s">
        <v>196</v>
      </c>
      <c r="D92" s="107" t="s">
        <v>510</v>
      </c>
      <c r="E92" s="103">
        <v>1300</v>
      </c>
      <c r="F92" s="98"/>
      <c r="G92" s="41" t="s">
        <v>526</v>
      </c>
    </row>
    <row r="93" spans="2:8" x14ac:dyDescent="0.2">
      <c r="B93" s="1"/>
      <c r="C93" s="66" t="s">
        <v>196</v>
      </c>
      <c r="D93" s="107" t="s">
        <v>512</v>
      </c>
      <c r="E93" s="103">
        <v>1300</v>
      </c>
      <c r="F93" s="98"/>
      <c r="G93" s="41" t="s">
        <v>526</v>
      </c>
    </row>
    <row r="94" spans="2:8" x14ac:dyDescent="0.2">
      <c r="B94" s="1"/>
      <c r="C94" s="66" t="s">
        <v>196</v>
      </c>
      <c r="D94" s="107" t="s">
        <v>513</v>
      </c>
      <c r="E94" s="103">
        <v>1300</v>
      </c>
      <c r="F94" s="98"/>
      <c r="G94" s="41" t="s">
        <v>526</v>
      </c>
    </row>
    <row r="95" spans="2:8" x14ac:dyDescent="0.2">
      <c r="B95" s="1"/>
      <c r="C95" s="66" t="s">
        <v>196</v>
      </c>
      <c r="D95" s="107" t="s">
        <v>514</v>
      </c>
      <c r="E95" s="103">
        <v>1300</v>
      </c>
      <c r="F95" s="98"/>
      <c r="G95" s="41" t="s">
        <v>526</v>
      </c>
    </row>
    <row r="96" spans="2:8" x14ac:dyDescent="0.2">
      <c r="B96" s="1"/>
      <c r="C96" s="66" t="s">
        <v>196</v>
      </c>
      <c r="D96" s="107" t="s">
        <v>515</v>
      </c>
      <c r="E96" s="103">
        <v>1300</v>
      </c>
      <c r="F96" s="98"/>
      <c r="G96" s="41" t="s">
        <v>526</v>
      </c>
    </row>
    <row r="97" spans="2:7" x14ac:dyDescent="0.2">
      <c r="B97" s="1"/>
      <c r="C97" s="66" t="s">
        <v>196</v>
      </c>
      <c r="D97" s="144" t="s">
        <v>516</v>
      </c>
      <c r="E97" s="103">
        <v>1300</v>
      </c>
      <c r="F97" s="98"/>
      <c r="G97" s="41" t="s">
        <v>526</v>
      </c>
    </row>
    <row r="98" spans="2:7" x14ac:dyDescent="0.2">
      <c r="B98" s="1"/>
      <c r="C98" s="66" t="s">
        <v>196</v>
      </c>
      <c r="D98" s="107" t="s">
        <v>521</v>
      </c>
      <c r="E98" s="103">
        <v>1200</v>
      </c>
      <c r="F98" s="92"/>
      <c r="G98" s="41" t="s">
        <v>526</v>
      </c>
    </row>
    <row r="99" spans="2:7" x14ac:dyDescent="0.2">
      <c r="B99" s="1"/>
      <c r="C99" s="66" t="s">
        <v>196</v>
      </c>
      <c r="D99" s="107" t="s">
        <v>520</v>
      </c>
      <c r="E99" s="103">
        <v>1200</v>
      </c>
      <c r="F99" s="92"/>
      <c r="G99" s="41" t="s">
        <v>526</v>
      </c>
    </row>
    <row r="100" spans="2:7" x14ac:dyDescent="0.2">
      <c r="B100" s="1"/>
      <c r="C100" s="66" t="s">
        <v>196</v>
      </c>
      <c r="D100" s="107" t="s">
        <v>519</v>
      </c>
      <c r="E100" s="103">
        <v>1200</v>
      </c>
      <c r="F100" s="92"/>
      <c r="G100" s="41" t="s">
        <v>526</v>
      </c>
    </row>
    <row r="101" spans="2:7" x14ac:dyDescent="0.2">
      <c r="B101" s="1"/>
      <c r="C101" s="66" t="s">
        <v>196</v>
      </c>
      <c r="D101" s="107" t="s">
        <v>518</v>
      </c>
      <c r="E101" s="103">
        <v>1200</v>
      </c>
      <c r="F101" s="92"/>
      <c r="G101" s="41" t="s">
        <v>526</v>
      </c>
    </row>
    <row r="102" spans="2:7" ht="13.15" x14ac:dyDescent="0.25">
      <c r="B102" s="1"/>
      <c r="C102" s="93" t="s">
        <v>156</v>
      </c>
      <c r="D102" s="89" t="s">
        <v>253</v>
      </c>
      <c r="E102" s="103">
        <v>100</v>
      </c>
      <c r="F102" s="98">
        <v>150</v>
      </c>
    </row>
    <row r="103" spans="2:7" ht="13.15" x14ac:dyDescent="0.25">
      <c r="B103" s="1"/>
      <c r="C103" s="93" t="s">
        <v>156</v>
      </c>
      <c r="D103" s="89" t="s">
        <v>254</v>
      </c>
      <c r="E103" s="103">
        <v>100</v>
      </c>
      <c r="F103" s="98">
        <v>150</v>
      </c>
    </row>
    <row r="104" spans="2:7" ht="13.15" x14ac:dyDescent="0.25">
      <c r="B104" s="1"/>
      <c r="C104" s="93" t="s">
        <v>156</v>
      </c>
      <c r="D104" s="89" t="s">
        <v>255</v>
      </c>
      <c r="E104" s="103">
        <v>100</v>
      </c>
      <c r="F104" s="98">
        <v>150</v>
      </c>
    </row>
    <row r="105" spans="2:7" ht="13.15" x14ac:dyDescent="0.25">
      <c r="B105" s="1"/>
      <c r="C105" s="93" t="s">
        <v>156</v>
      </c>
      <c r="D105" s="89" t="s">
        <v>256</v>
      </c>
      <c r="E105" s="103">
        <v>100</v>
      </c>
      <c r="F105" s="98">
        <v>150</v>
      </c>
    </row>
    <row r="106" spans="2:7" ht="13.15" x14ac:dyDescent="0.25">
      <c r="B106" s="1"/>
      <c r="C106" s="93" t="s">
        <v>156</v>
      </c>
      <c r="D106" s="89" t="s">
        <v>257</v>
      </c>
      <c r="E106" s="103">
        <v>100</v>
      </c>
      <c r="F106" s="98">
        <v>150</v>
      </c>
    </row>
    <row r="107" spans="2:7" ht="13.15" x14ac:dyDescent="0.25">
      <c r="B107" s="1"/>
      <c r="C107" s="93" t="s">
        <v>156</v>
      </c>
      <c r="D107" s="89" t="s">
        <v>258</v>
      </c>
      <c r="E107" s="103">
        <v>100</v>
      </c>
      <c r="F107" s="98">
        <v>150</v>
      </c>
    </row>
    <row r="108" spans="2:7" ht="13.15" x14ac:dyDescent="0.25">
      <c r="B108" s="1"/>
      <c r="C108" s="93" t="s">
        <v>156</v>
      </c>
      <c r="D108" s="89" t="s">
        <v>259</v>
      </c>
      <c r="E108" s="103">
        <v>100</v>
      </c>
      <c r="F108" s="98">
        <v>150</v>
      </c>
    </row>
    <row r="109" spans="2:7" ht="13.15" x14ac:dyDescent="0.25">
      <c r="B109" s="1"/>
      <c r="C109" s="93" t="s">
        <v>156</v>
      </c>
      <c r="D109" s="89" t="s">
        <v>260</v>
      </c>
      <c r="E109" s="103">
        <v>100</v>
      </c>
      <c r="F109" s="98">
        <v>150</v>
      </c>
    </row>
    <row r="110" spans="2:7" ht="13.15" x14ac:dyDescent="0.25">
      <c r="B110" s="1"/>
      <c r="C110" s="93" t="s">
        <v>156</v>
      </c>
      <c r="D110" s="89" t="s">
        <v>261</v>
      </c>
      <c r="E110" s="103">
        <v>100</v>
      </c>
      <c r="F110" s="98">
        <v>150</v>
      </c>
    </row>
    <row r="111" spans="2:7" ht="13.15" x14ac:dyDescent="0.25">
      <c r="B111" s="1"/>
      <c r="C111" s="93" t="s">
        <v>156</v>
      </c>
      <c r="D111" s="89" t="s">
        <v>42</v>
      </c>
      <c r="E111" s="103">
        <v>150</v>
      </c>
      <c r="F111" s="98">
        <v>175</v>
      </c>
      <c r="G111" s="41" t="s">
        <v>402</v>
      </c>
    </row>
    <row r="112" spans="2:7" ht="13.15" x14ac:dyDescent="0.25">
      <c r="B112" s="1"/>
      <c r="C112" s="93" t="s">
        <v>156</v>
      </c>
      <c r="D112" s="89" t="s">
        <v>191</v>
      </c>
      <c r="E112" s="103">
        <v>175</v>
      </c>
      <c r="F112" s="98">
        <v>200</v>
      </c>
      <c r="G112" s="41" t="s">
        <v>402</v>
      </c>
    </row>
    <row r="113" spans="2:8" ht="13.15" x14ac:dyDescent="0.25">
      <c r="B113" s="1"/>
      <c r="C113" s="93" t="s">
        <v>156</v>
      </c>
      <c r="D113" s="89" t="s">
        <v>192</v>
      </c>
      <c r="E113" s="103">
        <v>225</v>
      </c>
      <c r="F113" s="98">
        <v>250</v>
      </c>
      <c r="G113" s="41" t="s">
        <v>402</v>
      </c>
    </row>
    <row r="114" spans="2:8" ht="13.15" x14ac:dyDescent="0.25">
      <c r="B114" s="1"/>
      <c r="C114" s="93" t="s">
        <v>156</v>
      </c>
      <c r="D114" s="89" t="s">
        <v>225</v>
      </c>
      <c r="E114" s="103">
        <v>250</v>
      </c>
      <c r="F114" s="98">
        <v>300</v>
      </c>
      <c r="G114" s="41" t="s">
        <v>403</v>
      </c>
      <c r="H114">
        <v>0</v>
      </c>
    </row>
    <row r="115" spans="2:8" x14ac:dyDescent="0.2">
      <c r="B115" s="1"/>
      <c r="C115" s="72" t="s">
        <v>196</v>
      </c>
      <c r="D115" s="107" t="s">
        <v>428</v>
      </c>
      <c r="E115" s="103">
        <v>300</v>
      </c>
      <c r="F115" s="98">
        <v>350</v>
      </c>
      <c r="G115" s="41" t="s">
        <v>402</v>
      </c>
    </row>
    <row r="116" spans="2:8" x14ac:dyDescent="0.2">
      <c r="B116" s="1"/>
      <c r="C116" s="72" t="s">
        <v>196</v>
      </c>
      <c r="D116" s="107" t="s">
        <v>429</v>
      </c>
      <c r="E116" s="103">
        <v>300</v>
      </c>
      <c r="F116" s="98">
        <v>350</v>
      </c>
      <c r="G116" s="41" t="s">
        <v>403</v>
      </c>
    </row>
    <row r="117" spans="2:8" x14ac:dyDescent="0.2">
      <c r="B117" s="1"/>
      <c r="C117" s="72" t="s">
        <v>196</v>
      </c>
      <c r="D117" s="107" t="s">
        <v>430</v>
      </c>
      <c r="E117" s="103">
        <v>300</v>
      </c>
      <c r="F117" s="98">
        <v>350</v>
      </c>
      <c r="G117" s="41" t="s">
        <v>402</v>
      </c>
    </row>
    <row r="118" spans="2:8" x14ac:dyDescent="0.2">
      <c r="B118" s="1"/>
      <c r="C118" s="72" t="s">
        <v>196</v>
      </c>
      <c r="D118" s="107" t="s">
        <v>431</v>
      </c>
      <c r="E118" s="103">
        <v>300</v>
      </c>
      <c r="F118" s="98">
        <v>350</v>
      </c>
      <c r="G118" s="41" t="s">
        <v>402</v>
      </c>
    </row>
    <row r="119" spans="2:8" x14ac:dyDescent="0.2">
      <c r="B119" s="1"/>
      <c r="C119" s="72" t="s">
        <v>196</v>
      </c>
      <c r="D119" s="107" t="s">
        <v>432</v>
      </c>
      <c r="E119" s="103">
        <v>300</v>
      </c>
      <c r="F119" s="98">
        <v>350</v>
      </c>
      <c r="G119" s="41" t="s">
        <v>402</v>
      </c>
    </row>
    <row r="120" spans="2:8" x14ac:dyDescent="0.2">
      <c r="B120" s="1"/>
      <c r="C120" s="72" t="s">
        <v>196</v>
      </c>
      <c r="D120" s="107" t="s">
        <v>499</v>
      </c>
      <c r="E120" s="103">
        <v>300</v>
      </c>
      <c r="F120" s="98">
        <v>350</v>
      </c>
      <c r="G120" s="41" t="s">
        <v>402</v>
      </c>
    </row>
    <row r="121" spans="2:8" x14ac:dyDescent="0.2">
      <c r="B121" s="1"/>
      <c r="C121" s="72" t="s">
        <v>196</v>
      </c>
      <c r="D121" s="107" t="s">
        <v>433</v>
      </c>
      <c r="E121" s="103">
        <v>300</v>
      </c>
      <c r="F121" s="98">
        <v>350</v>
      </c>
      <c r="G121" s="41" t="s">
        <v>402</v>
      </c>
    </row>
    <row r="122" spans="2:8" x14ac:dyDescent="0.2">
      <c r="B122" s="1"/>
      <c r="C122" s="72" t="s">
        <v>196</v>
      </c>
      <c r="D122" s="107" t="s">
        <v>434</v>
      </c>
      <c r="E122" s="103">
        <v>300</v>
      </c>
      <c r="F122" s="98">
        <v>350</v>
      </c>
      <c r="G122" s="41" t="s">
        <v>402</v>
      </c>
    </row>
    <row r="123" spans="2:8" x14ac:dyDescent="0.2">
      <c r="B123" s="1"/>
      <c r="C123" s="72" t="s">
        <v>196</v>
      </c>
      <c r="D123" s="91" t="s">
        <v>501</v>
      </c>
      <c r="E123" s="103">
        <v>200</v>
      </c>
      <c r="F123" s="98"/>
      <c r="G123" s="41" t="s">
        <v>402</v>
      </c>
    </row>
    <row r="124" spans="2:8" x14ac:dyDescent="0.2">
      <c r="B124" s="1"/>
      <c r="C124" s="72" t="s">
        <v>196</v>
      </c>
      <c r="D124" s="144" t="s">
        <v>500</v>
      </c>
      <c r="E124" s="103">
        <v>0</v>
      </c>
      <c r="F124" s="98"/>
      <c r="G124" s="41" t="s">
        <v>526</v>
      </c>
    </row>
    <row r="125" spans="2:8" x14ac:dyDescent="0.2">
      <c r="B125" s="1"/>
      <c r="C125" s="72" t="s">
        <v>196</v>
      </c>
      <c r="D125" s="144" t="s">
        <v>525</v>
      </c>
      <c r="E125" s="103">
        <v>0</v>
      </c>
      <c r="F125" s="98"/>
      <c r="G125" s="41" t="s">
        <v>526</v>
      </c>
    </row>
    <row r="126" spans="2:8" x14ac:dyDescent="0.2">
      <c r="B126" s="1"/>
      <c r="C126" s="72" t="s">
        <v>196</v>
      </c>
      <c r="D126" s="144" t="s">
        <v>522</v>
      </c>
      <c r="E126" s="103">
        <v>0</v>
      </c>
      <c r="F126" s="98"/>
      <c r="G126" s="41" t="s">
        <v>526</v>
      </c>
    </row>
    <row r="127" spans="2:8" x14ac:dyDescent="0.2">
      <c r="B127" s="1"/>
      <c r="C127" s="72" t="s">
        <v>196</v>
      </c>
      <c r="D127" s="144" t="s">
        <v>523</v>
      </c>
      <c r="E127" s="103">
        <v>0</v>
      </c>
      <c r="F127" s="98"/>
      <c r="G127" s="41" t="s">
        <v>526</v>
      </c>
    </row>
    <row r="128" spans="2:8" x14ac:dyDescent="0.2">
      <c r="B128" s="1"/>
      <c r="C128" s="72" t="s">
        <v>196</v>
      </c>
      <c r="D128" s="144" t="s">
        <v>524</v>
      </c>
      <c r="E128" s="103">
        <v>0</v>
      </c>
      <c r="F128" s="98"/>
      <c r="G128" s="41" t="s">
        <v>526</v>
      </c>
    </row>
    <row r="129" spans="2:8" ht="13.15" x14ac:dyDescent="0.25">
      <c r="B129" s="1"/>
      <c r="C129" s="93" t="s">
        <v>156</v>
      </c>
      <c r="D129" s="89" t="s">
        <v>346</v>
      </c>
      <c r="E129" s="103">
        <v>700</v>
      </c>
      <c r="F129" s="98">
        <v>800</v>
      </c>
      <c r="G129" s="41" t="s">
        <v>403</v>
      </c>
      <c r="H129">
        <v>0</v>
      </c>
    </row>
    <row r="130" spans="2:8" ht="13.15" x14ac:dyDescent="0.2">
      <c r="B130" s="1"/>
      <c r="C130" s="106" t="s">
        <v>156</v>
      </c>
      <c r="D130" s="89" t="s">
        <v>436</v>
      </c>
      <c r="E130" s="103">
        <v>700</v>
      </c>
      <c r="F130" s="98">
        <v>800</v>
      </c>
      <c r="G130" s="41" t="s">
        <v>402</v>
      </c>
    </row>
    <row r="131" spans="2:8" ht="13.15" x14ac:dyDescent="0.2">
      <c r="B131" s="1"/>
      <c r="C131" s="106" t="s">
        <v>156</v>
      </c>
      <c r="D131" s="89" t="s">
        <v>437</v>
      </c>
      <c r="E131" s="103">
        <v>700</v>
      </c>
      <c r="F131" s="98">
        <v>800</v>
      </c>
      <c r="G131" s="41" t="s">
        <v>402</v>
      </c>
    </row>
    <row r="132" spans="2:8" ht="13.15" x14ac:dyDescent="0.2">
      <c r="B132" s="1"/>
      <c r="C132" s="106" t="s">
        <v>156</v>
      </c>
      <c r="D132" s="89" t="s">
        <v>438</v>
      </c>
      <c r="E132" s="103">
        <v>700</v>
      </c>
      <c r="F132" s="98">
        <v>800</v>
      </c>
      <c r="G132" s="41" t="s">
        <v>402</v>
      </c>
    </row>
    <row r="133" spans="2:8" ht="13.5" customHeight="1" x14ac:dyDescent="0.2">
      <c r="B133" s="1"/>
      <c r="C133" s="106" t="s">
        <v>156</v>
      </c>
      <c r="D133" s="89" t="s">
        <v>439</v>
      </c>
      <c r="E133" s="103">
        <v>700</v>
      </c>
      <c r="F133" s="98">
        <v>800</v>
      </c>
      <c r="G133" s="41" t="s">
        <v>403</v>
      </c>
      <c r="H133">
        <v>0</v>
      </c>
    </row>
    <row r="134" spans="2:8" ht="13.5" customHeight="1" x14ac:dyDescent="0.2">
      <c r="B134" s="1"/>
      <c r="C134" s="72" t="s">
        <v>196</v>
      </c>
      <c r="D134" s="91" t="s">
        <v>107</v>
      </c>
      <c r="E134" s="103">
        <v>850</v>
      </c>
      <c r="F134" s="98"/>
      <c r="G134" s="41" t="s">
        <v>526</v>
      </c>
    </row>
    <row r="135" spans="2:8" ht="13.5" customHeight="1" x14ac:dyDescent="0.25">
      <c r="B135" s="1"/>
      <c r="C135" s="93" t="s">
        <v>156</v>
      </c>
      <c r="D135" s="90" t="s">
        <v>440</v>
      </c>
      <c r="E135" s="103">
        <v>200</v>
      </c>
      <c r="F135" s="98">
        <v>250</v>
      </c>
      <c r="G135" s="41" t="s">
        <v>403</v>
      </c>
      <c r="H135">
        <v>0</v>
      </c>
    </row>
    <row r="136" spans="2:8" ht="13.15" x14ac:dyDescent="0.25">
      <c r="B136" s="1"/>
      <c r="C136" s="93" t="s">
        <v>156</v>
      </c>
      <c r="D136" s="89" t="s">
        <v>211</v>
      </c>
      <c r="E136" s="103">
        <v>300</v>
      </c>
      <c r="F136" s="98">
        <v>350</v>
      </c>
      <c r="G136" s="41" t="s">
        <v>403</v>
      </c>
      <c r="H136">
        <v>0</v>
      </c>
    </row>
    <row r="137" spans="2:8" ht="13.15" x14ac:dyDescent="0.25">
      <c r="B137" s="1"/>
      <c r="C137" s="93" t="s">
        <v>156</v>
      </c>
      <c r="D137" s="89" t="s">
        <v>212</v>
      </c>
      <c r="E137" s="103">
        <v>300</v>
      </c>
      <c r="F137" s="98">
        <v>350</v>
      </c>
      <c r="G137" s="41" t="s">
        <v>403</v>
      </c>
      <c r="H137">
        <v>0</v>
      </c>
    </row>
    <row r="138" spans="2:8" x14ac:dyDescent="0.2">
      <c r="B138" s="1"/>
      <c r="C138" s="60" t="s">
        <v>196</v>
      </c>
      <c r="D138" s="89" t="s">
        <v>453</v>
      </c>
      <c r="E138" s="103">
        <v>200</v>
      </c>
      <c r="F138" s="98">
        <v>300</v>
      </c>
      <c r="G138" s="41" t="s">
        <v>402</v>
      </c>
    </row>
    <row r="139" spans="2:8" x14ac:dyDescent="0.2">
      <c r="B139" s="1"/>
      <c r="C139" s="60" t="s">
        <v>196</v>
      </c>
      <c r="D139" s="89" t="s">
        <v>454</v>
      </c>
      <c r="E139" s="103">
        <v>200</v>
      </c>
      <c r="F139" s="98">
        <v>300</v>
      </c>
      <c r="G139" s="41" t="s">
        <v>402</v>
      </c>
    </row>
    <row r="140" spans="2:8" x14ac:dyDescent="0.2">
      <c r="B140" s="1"/>
      <c r="C140" s="60" t="s">
        <v>196</v>
      </c>
      <c r="D140" s="89" t="s">
        <v>455</v>
      </c>
      <c r="E140" s="103">
        <v>200</v>
      </c>
      <c r="F140" s="98">
        <v>300</v>
      </c>
      <c r="G140" s="41" t="s">
        <v>402</v>
      </c>
    </row>
    <row r="141" spans="2:8" x14ac:dyDescent="0.2">
      <c r="B141" s="1"/>
      <c r="C141" s="60" t="s">
        <v>196</v>
      </c>
      <c r="D141" s="89" t="s">
        <v>456</v>
      </c>
      <c r="E141" s="103">
        <v>400</v>
      </c>
      <c r="F141" s="92"/>
      <c r="G141" s="41" t="s">
        <v>526</v>
      </c>
    </row>
    <row r="142" spans="2:8" x14ac:dyDescent="0.2">
      <c r="B142" s="1"/>
      <c r="C142" s="60" t="s">
        <v>196</v>
      </c>
      <c r="D142" s="91" t="s">
        <v>457</v>
      </c>
      <c r="E142" s="103">
        <v>650</v>
      </c>
      <c r="F142" s="92"/>
      <c r="G142" s="41" t="s">
        <v>526</v>
      </c>
    </row>
    <row r="143" spans="2:8" x14ac:dyDescent="0.2">
      <c r="B143" s="1"/>
      <c r="C143" s="60" t="s">
        <v>196</v>
      </c>
      <c r="D143" s="91" t="s">
        <v>458</v>
      </c>
      <c r="E143" s="103">
        <v>650</v>
      </c>
      <c r="F143" s="92"/>
      <c r="G143" s="41" t="s">
        <v>526</v>
      </c>
    </row>
    <row r="144" spans="2:8" x14ac:dyDescent="0.2">
      <c r="B144" s="1"/>
      <c r="C144" s="60" t="s">
        <v>196</v>
      </c>
      <c r="D144" s="91" t="s">
        <v>459</v>
      </c>
      <c r="E144" s="103">
        <v>650</v>
      </c>
      <c r="F144" s="92"/>
      <c r="G144" s="41" t="s">
        <v>526</v>
      </c>
    </row>
    <row r="145" spans="2:7" x14ac:dyDescent="0.2">
      <c r="B145" s="1"/>
      <c r="C145" s="60" t="s">
        <v>196</v>
      </c>
      <c r="D145" s="91" t="s">
        <v>460</v>
      </c>
      <c r="E145" s="103">
        <v>900</v>
      </c>
      <c r="F145" s="92"/>
      <c r="G145" s="41" t="s">
        <v>526</v>
      </c>
    </row>
    <row r="146" spans="2:7" x14ac:dyDescent="0.2">
      <c r="B146" s="1"/>
      <c r="C146" s="60" t="s">
        <v>196</v>
      </c>
      <c r="D146" s="91" t="s">
        <v>461</v>
      </c>
      <c r="E146" s="103">
        <v>200</v>
      </c>
      <c r="F146" s="92"/>
      <c r="G146" s="41" t="s">
        <v>526</v>
      </c>
    </row>
    <row r="147" spans="2:7" x14ac:dyDescent="0.2">
      <c r="B147" s="1"/>
      <c r="C147" s="60" t="s">
        <v>196</v>
      </c>
      <c r="D147" s="91" t="s">
        <v>462</v>
      </c>
      <c r="E147" s="103">
        <v>200</v>
      </c>
      <c r="F147" s="92"/>
      <c r="G147" s="41" t="s">
        <v>526</v>
      </c>
    </row>
    <row r="148" spans="2:7" x14ac:dyDescent="0.2">
      <c r="B148" s="1"/>
      <c r="C148" s="60" t="s">
        <v>196</v>
      </c>
      <c r="D148" s="91" t="s">
        <v>463</v>
      </c>
      <c r="E148" s="103">
        <v>200</v>
      </c>
      <c r="F148" s="92"/>
      <c r="G148" s="41" t="s">
        <v>526</v>
      </c>
    </row>
    <row r="149" spans="2:7" x14ac:dyDescent="0.2">
      <c r="B149" s="1"/>
      <c r="C149" s="60" t="s">
        <v>196</v>
      </c>
      <c r="D149" s="91" t="s">
        <v>464</v>
      </c>
      <c r="E149" s="103">
        <v>200</v>
      </c>
      <c r="F149" s="92"/>
      <c r="G149" s="41" t="s">
        <v>526</v>
      </c>
    </row>
    <row r="150" spans="2:7" x14ac:dyDescent="0.2">
      <c r="B150" s="1"/>
      <c r="C150" s="60" t="s">
        <v>196</v>
      </c>
      <c r="D150" s="91" t="s">
        <v>465</v>
      </c>
      <c r="E150" s="103">
        <v>200</v>
      </c>
      <c r="F150" s="92"/>
      <c r="G150" s="41" t="s">
        <v>526</v>
      </c>
    </row>
    <row r="151" spans="2:7" x14ac:dyDescent="0.2">
      <c r="B151" s="1"/>
      <c r="C151" s="60" t="s">
        <v>196</v>
      </c>
      <c r="D151" s="91" t="s">
        <v>466</v>
      </c>
      <c r="E151" s="103">
        <v>200</v>
      </c>
      <c r="F151" s="92"/>
      <c r="G151" s="41" t="s">
        <v>526</v>
      </c>
    </row>
    <row r="152" spans="2:7" x14ac:dyDescent="0.2">
      <c r="B152" s="1"/>
      <c r="C152" s="60" t="s">
        <v>196</v>
      </c>
      <c r="D152" s="91" t="s">
        <v>467</v>
      </c>
      <c r="E152" s="103">
        <v>200</v>
      </c>
      <c r="F152" s="92"/>
      <c r="G152" s="41" t="s">
        <v>526</v>
      </c>
    </row>
    <row r="153" spans="2:7" x14ac:dyDescent="0.2">
      <c r="B153" s="1"/>
      <c r="C153" s="60" t="s">
        <v>196</v>
      </c>
      <c r="D153" s="91" t="s">
        <v>468</v>
      </c>
      <c r="E153" s="103">
        <v>200</v>
      </c>
      <c r="F153" s="92"/>
      <c r="G153" s="41" t="s">
        <v>526</v>
      </c>
    </row>
    <row r="154" spans="2:7" x14ac:dyDescent="0.2">
      <c r="B154" s="1"/>
      <c r="C154" s="60" t="s">
        <v>196</v>
      </c>
      <c r="D154" s="91" t="s">
        <v>469</v>
      </c>
      <c r="E154" s="103">
        <v>200</v>
      </c>
      <c r="F154" s="92"/>
      <c r="G154" s="41" t="s">
        <v>526</v>
      </c>
    </row>
    <row r="155" spans="2:7" x14ac:dyDescent="0.2">
      <c r="B155" s="1"/>
      <c r="C155" s="60" t="s">
        <v>196</v>
      </c>
      <c r="D155" s="91" t="s">
        <v>470</v>
      </c>
      <c r="E155" s="103">
        <v>200</v>
      </c>
      <c r="F155" s="92"/>
      <c r="G155" s="41" t="s">
        <v>402</v>
      </c>
    </row>
    <row r="156" spans="2:7" x14ac:dyDescent="0.2">
      <c r="B156" s="1"/>
      <c r="C156" s="60" t="s">
        <v>196</v>
      </c>
      <c r="D156" s="91" t="s">
        <v>471</v>
      </c>
      <c r="E156" s="103">
        <v>200</v>
      </c>
      <c r="F156" s="92"/>
      <c r="G156" s="41" t="s">
        <v>402</v>
      </c>
    </row>
    <row r="157" spans="2:7" x14ac:dyDescent="0.2">
      <c r="B157" s="1"/>
      <c r="C157" s="60" t="s">
        <v>196</v>
      </c>
      <c r="D157" s="91" t="s">
        <v>472</v>
      </c>
      <c r="E157" s="103">
        <v>200</v>
      </c>
      <c r="F157" s="92"/>
      <c r="G157" s="41" t="s">
        <v>526</v>
      </c>
    </row>
    <row r="158" spans="2:7" x14ac:dyDescent="0.2">
      <c r="B158" s="1"/>
      <c r="C158" s="60" t="s">
        <v>196</v>
      </c>
      <c r="D158" s="91" t="s">
        <v>452</v>
      </c>
      <c r="E158" s="103">
        <v>250</v>
      </c>
      <c r="F158" s="92"/>
      <c r="G158" s="41" t="s">
        <v>526</v>
      </c>
    </row>
    <row r="159" spans="2:7" x14ac:dyDescent="0.2">
      <c r="B159" s="1"/>
      <c r="C159" s="60" t="s">
        <v>196</v>
      </c>
      <c r="D159" s="91" t="s">
        <v>451</v>
      </c>
      <c r="E159" s="103">
        <v>250</v>
      </c>
      <c r="F159" s="92"/>
      <c r="G159" s="41" t="s">
        <v>526</v>
      </c>
    </row>
    <row r="160" spans="2:7" x14ac:dyDescent="0.2">
      <c r="B160" s="1"/>
      <c r="C160" s="60" t="s">
        <v>196</v>
      </c>
      <c r="D160" s="89" t="s">
        <v>450</v>
      </c>
      <c r="E160" s="103">
        <v>0</v>
      </c>
      <c r="F160" s="98"/>
      <c r="G160" s="41" t="s">
        <v>526</v>
      </c>
    </row>
    <row r="161" spans="2:8" x14ac:dyDescent="0.2">
      <c r="B161" s="1"/>
      <c r="C161" s="60" t="s">
        <v>196</v>
      </c>
      <c r="D161" s="89" t="s">
        <v>449</v>
      </c>
      <c r="E161" s="103">
        <v>0</v>
      </c>
      <c r="F161" s="98"/>
      <c r="G161" s="41" t="s">
        <v>526</v>
      </c>
    </row>
    <row r="162" spans="2:8" x14ac:dyDescent="0.2">
      <c r="B162" s="1"/>
      <c r="C162" s="60" t="s">
        <v>196</v>
      </c>
      <c r="D162" s="89" t="s">
        <v>421</v>
      </c>
      <c r="E162" s="103">
        <v>0</v>
      </c>
      <c r="F162" s="98"/>
      <c r="G162" s="41" t="s">
        <v>526</v>
      </c>
    </row>
    <row r="163" spans="2:8" x14ac:dyDescent="0.2">
      <c r="B163" s="1"/>
      <c r="C163" s="60" t="s">
        <v>196</v>
      </c>
      <c r="D163" s="91" t="s">
        <v>539</v>
      </c>
      <c r="E163" s="103">
        <v>0</v>
      </c>
      <c r="F163" s="98"/>
      <c r="G163" s="41"/>
    </row>
    <row r="164" spans="2:8" x14ac:dyDescent="0.2">
      <c r="B164" s="1"/>
      <c r="C164" s="60" t="s">
        <v>196</v>
      </c>
      <c r="D164" s="91" t="s">
        <v>540</v>
      </c>
      <c r="E164" s="103">
        <v>0</v>
      </c>
      <c r="F164" s="98"/>
      <c r="G164" s="41"/>
    </row>
    <row r="165" spans="2:8" x14ac:dyDescent="0.2">
      <c r="B165" s="1"/>
      <c r="C165" s="60" t="s">
        <v>196</v>
      </c>
      <c r="D165" s="91" t="s">
        <v>541</v>
      </c>
      <c r="E165" s="103">
        <v>0</v>
      </c>
      <c r="F165" s="98"/>
      <c r="G165" s="41"/>
    </row>
    <row r="166" spans="2:8" x14ac:dyDescent="0.2">
      <c r="B166" s="1"/>
      <c r="C166" s="60" t="s">
        <v>196</v>
      </c>
      <c r="D166" s="91" t="s">
        <v>542</v>
      </c>
      <c r="E166" s="103">
        <v>0</v>
      </c>
      <c r="F166" s="98"/>
      <c r="G166" s="41"/>
    </row>
    <row r="167" spans="2:8" x14ac:dyDescent="0.2">
      <c r="B167" s="1"/>
      <c r="C167" s="60" t="s">
        <v>196</v>
      </c>
      <c r="D167" s="91" t="s">
        <v>543</v>
      </c>
      <c r="E167" s="103">
        <v>0</v>
      </c>
      <c r="F167" s="98"/>
      <c r="G167" s="41"/>
    </row>
    <row r="168" spans="2:8" ht="13.15" x14ac:dyDescent="0.25">
      <c r="B168" s="1"/>
      <c r="C168" s="93" t="s">
        <v>156</v>
      </c>
      <c r="D168" s="89" t="s">
        <v>7</v>
      </c>
      <c r="E168" s="103">
        <v>600</v>
      </c>
      <c r="F168" s="98">
        <v>750</v>
      </c>
      <c r="G168" s="41" t="s">
        <v>402</v>
      </c>
    </row>
    <row r="169" spans="2:8" ht="13.15" x14ac:dyDescent="0.25">
      <c r="B169" s="1"/>
      <c r="C169" s="93" t="s">
        <v>156</v>
      </c>
      <c r="D169" s="89" t="s">
        <v>200</v>
      </c>
      <c r="E169" s="103">
        <v>250</v>
      </c>
      <c r="F169" s="98">
        <v>300</v>
      </c>
      <c r="G169" s="41" t="s">
        <v>403</v>
      </c>
      <c r="H169">
        <v>0</v>
      </c>
    </row>
    <row r="170" spans="2:8" ht="13.15" x14ac:dyDescent="0.25">
      <c r="B170" s="1"/>
      <c r="C170" s="93" t="s">
        <v>156</v>
      </c>
      <c r="D170" s="89" t="s">
        <v>527</v>
      </c>
      <c r="E170" s="103">
        <v>275</v>
      </c>
      <c r="F170" s="98">
        <v>325</v>
      </c>
    </row>
    <row r="171" spans="2:8" ht="13.15" x14ac:dyDescent="0.25">
      <c r="B171" s="1"/>
      <c r="C171" s="93" t="s">
        <v>156</v>
      </c>
      <c r="D171" s="89" t="s">
        <v>528</v>
      </c>
      <c r="E171" s="103">
        <v>275</v>
      </c>
      <c r="F171" s="98">
        <v>325</v>
      </c>
    </row>
    <row r="172" spans="2:8" ht="13.15" x14ac:dyDescent="0.25">
      <c r="B172" s="1"/>
      <c r="C172" s="93" t="s">
        <v>156</v>
      </c>
      <c r="D172" s="89" t="s">
        <v>529</v>
      </c>
      <c r="E172" s="103">
        <v>275</v>
      </c>
      <c r="F172" s="98">
        <v>325</v>
      </c>
    </row>
    <row r="173" spans="2:8" ht="13.15" x14ac:dyDescent="0.25">
      <c r="B173" s="1"/>
      <c r="C173" s="93" t="s">
        <v>156</v>
      </c>
      <c r="D173" s="89" t="s">
        <v>530</v>
      </c>
      <c r="E173" s="103">
        <v>275</v>
      </c>
      <c r="F173" s="98">
        <v>325</v>
      </c>
    </row>
    <row r="174" spans="2:8" ht="13.15" x14ac:dyDescent="0.25">
      <c r="B174" s="1"/>
      <c r="C174" s="93" t="s">
        <v>156</v>
      </c>
      <c r="D174" s="89" t="s">
        <v>531</v>
      </c>
      <c r="E174" s="103">
        <v>275</v>
      </c>
      <c r="F174" s="98">
        <v>325</v>
      </c>
    </row>
    <row r="175" spans="2:8" ht="13.15" x14ac:dyDescent="0.25">
      <c r="B175" s="1"/>
      <c r="C175" s="93" t="s">
        <v>156</v>
      </c>
      <c r="D175" s="89" t="s">
        <v>532</v>
      </c>
      <c r="E175" s="103">
        <v>275</v>
      </c>
      <c r="F175" s="98">
        <v>325</v>
      </c>
    </row>
    <row r="176" spans="2:8" ht="13.15" x14ac:dyDescent="0.25">
      <c r="B176" s="1"/>
      <c r="C176" s="93" t="s">
        <v>156</v>
      </c>
      <c r="D176" s="89" t="s">
        <v>533</v>
      </c>
      <c r="E176" s="103">
        <v>325</v>
      </c>
      <c r="F176" s="98">
        <v>375</v>
      </c>
    </row>
    <row r="177" spans="2:8" ht="13.15" x14ac:dyDescent="0.25">
      <c r="B177" s="1"/>
      <c r="C177" s="93" t="s">
        <v>156</v>
      </c>
      <c r="D177" s="89" t="s">
        <v>534</v>
      </c>
      <c r="E177" s="103">
        <v>325</v>
      </c>
      <c r="F177" s="98">
        <v>375</v>
      </c>
    </row>
    <row r="178" spans="2:8" ht="13.15" x14ac:dyDescent="0.25">
      <c r="B178" s="1"/>
      <c r="C178" s="93" t="s">
        <v>156</v>
      </c>
      <c r="D178" s="89" t="s">
        <v>535</v>
      </c>
      <c r="E178" s="103">
        <v>325</v>
      </c>
      <c r="F178" s="98">
        <v>375</v>
      </c>
      <c r="G178" s="41" t="s">
        <v>402</v>
      </c>
    </row>
    <row r="179" spans="2:8" ht="13.15" x14ac:dyDescent="0.25">
      <c r="B179" s="1"/>
      <c r="C179" s="93" t="s">
        <v>156</v>
      </c>
      <c r="D179" s="89" t="s">
        <v>536</v>
      </c>
      <c r="E179" s="105">
        <v>375</v>
      </c>
      <c r="F179" s="98">
        <v>425</v>
      </c>
      <c r="G179" s="41" t="s">
        <v>402</v>
      </c>
    </row>
    <row r="180" spans="2:8" ht="13.15" x14ac:dyDescent="0.25">
      <c r="B180" s="1"/>
      <c r="C180" s="93" t="s">
        <v>156</v>
      </c>
      <c r="D180" s="89" t="s">
        <v>537</v>
      </c>
      <c r="E180" s="105">
        <v>375</v>
      </c>
      <c r="F180" s="98">
        <v>425</v>
      </c>
    </row>
    <row r="181" spans="2:8" ht="13.15" x14ac:dyDescent="0.25">
      <c r="B181" s="1"/>
      <c r="C181" s="93" t="s">
        <v>156</v>
      </c>
      <c r="D181" s="89" t="s">
        <v>202</v>
      </c>
      <c r="E181" s="103">
        <v>2700</v>
      </c>
      <c r="F181" s="98">
        <v>3000</v>
      </c>
      <c r="G181" s="41" t="s">
        <v>402</v>
      </c>
    </row>
    <row r="182" spans="2:8" ht="13.15" x14ac:dyDescent="0.2">
      <c r="B182" s="1"/>
      <c r="C182" s="140" t="s">
        <v>156</v>
      </c>
      <c r="D182" s="89" t="s">
        <v>223</v>
      </c>
      <c r="E182" s="103">
        <v>400</v>
      </c>
      <c r="F182" s="98">
        <v>500</v>
      </c>
      <c r="G182" s="41" t="s">
        <v>402</v>
      </c>
    </row>
    <row r="183" spans="2:8" ht="12.55" customHeight="1" x14ac:dyDescent="0.2">
      <c r="B183" s="1"/>
      <c r="C183" s="140" t="s">
        <v>156</v>
      </c>
      <c r="D183" s="149" t="s">
        <v>422</v>
      </c>
      <c r="E183" s="103">
        <v>0</v>
      </c>
      <c r="F183" s="98"/>
      <c r="G183" s="147" t="s">
        <v>402</v>
      </c>
      <c r="H183">
        <v>31</v>
      </c>
    </row>
    <row r="184" spans="2:8" ht="13.15" x14ac:dyDescent="0.25">
      <c r="C184" s="93" t="s">
        <v>156</v>
      </c>
      <c r="D184" s="90" t="s">
        <v>538</v>
      </c>
      <c r="E184" s="103">
        <v>150</v>
      </c>
      <c r="F184" s="98">
        <v>250</v>
      </c>
      <c r="G184" s="41" t="s">
        <v>402</v>
      </c>
    </row>
    <row r="185" spans="2:8" ht="13.15" x14ac:dyDescent="0.25">
      <c r="C185" s="93" t="s">
        <v>156</v>
      </c>
      <c r="D185" s="90" t="s">
        <v>426</v>
      </c>
      <c r="E185" s="103">
        <v>150</v>
      </c>
      <c r="F185" s="98">
        <v>200</v>
      </c>
    </row>
    <row r="186" spans="2:8" ht="13.15" x14ac:dyDescent="0.25">
      <c r="C186" s="93" t="s">
        <v>156</v>
      </c>
      <c r="D186" s="90" t="s">
        <v>425</v>
      </c>
      <c r="E186" s="103">
        <v>150</v>
      </c>
      <c r="F186" s="98">
        <v>200</v>
      </c>
    </row>
    <row r="187" spans="2:8" ht="13.15" x14ac:dyDescent="0.25">
      <c r="C187" s="93" t="s">
        <v>156</v>
      </c>
      <c r="D187" s="90" t="s">
        <v>424</v>
      </c>
      <c r="E187" s="103">
        <v>150</v>
      </c>
      <c r="F187" s="98">
        <v>200</v>
      </c>
    </row>
    <row r="188" spans="2:8" ht="13.15" x14ac:dyDescent="0.25">
      <c r="C188" s="93" t="s">
        <v>156</v>
      </c>
      <c r="D188" s="90" t="s">
        <v>423</v>
      </c>
      <c r="E188" s="103">
        <v>150</v>
      </c>
      <c r="F188" s="98">
        <v>200</v>
      </c>
    </row>
    <row r="189" spans="2:8" ht="13.15" x14ac:dyDescent="0.25">
      <c r="C189" s="93" t="s">
        <v>156</v>
      </c>
      <c r="D189" s="91" t="s">
        <v>441</v>
      </c>
      <c r="E189" s="103">
        <v>100</v>
      </c>
      <c r="F189" s="98"/>
    </row>
    <row r="190" spans="2:8" ht="13.15" x14ac:dyDescent="0.25">
      <c r="C190" s="93" t="s">
        <v>156</v>
      </c>
      <c r="D190" s="90" t="s">
        <v>547</v>
      </c>
      <c r="E190" s="103">
        <v>500</v>
      </c>
      <c r="F190" s="98"/>
    </row>
    <row r="191" spans="2:8" ht="13.15" x14ac:dyDescent="0.25">
      <c r="C191" s="93" t="s">
        <v>156</v>
      </c>
      <c r="D191" s="90" t="s">
        <v>548</v>
      </c>
      <c r="E191" s="103">
        <v>500</v>
      </c>
      <c r="F191" s="98"/>
    </row>
    <row r="192" spans="2:8" ht="13.15" x14ac:dyDescent="0.25">
      <c r="C192" s="93" t="s">
        <v>156</v>
      </c>
      <c r="D192" s="90" t="s">
        <v>549</v>
      </c>
      <c r="E192" s="103">
        <v>500</v>
      </c>
      <c r="F192" s="98"/>
    </row>
    <row r="193" spans="3:8" ht="13.15" x14ac:dyDescent="0.25">
      <c r="C193" s="93" t="s">
        <v>156</v>
      </c>
      <c r="D193" s="90" t="s">
        <v>314</v>
      </c>
      <c r="E193" s="103">
        <v>600</v>
      </c>
      <c r="F193" s="98">
        <v>650</v>
      </c>
      <c r="G193" s="41" t="s">
        <v>402</v>
      </c>
    </row>
    <row r="194" spans="3:8" ht="13.15" x14ac:dyDescent="0.25">
      <c r="C194" s="93" t="s">
        <v>156</v>
      </c>
      <c r="D194" s="90" t="s">
        <v>315</v>
      </c>
      <c r="E194" s="103">
        <v>600</v>
      </c>
      <c r="F194" s="98">
        <v>650</v>
      </c>
    </row>
    <row r="195" spans="3:8" ht="13.15" x14ac:dyDescent="0.25">
      <c r="C195" s="93" t="s">
        <v>156</v>
      </c>
      <c r="D195" s="90" t="s">
        <v>316</v>
      </c>
      <c r="E195" s="103">
        <v>650</v>
      </c>
      <c r="F195" s="98">
        <v>700</v>
      </c>
    </row>
    <row r="196" spans="3:8" ht="13.15" x14ac:dyDescent="0.25">
      <c r="C196" s="93" t="s">
        <v>156</v>
      </c>
      <c r="D196" s="90" t="s">
        <v>427</v>
      </c>
      <c r="E196" s="103">
        <v>650</v>
      </c>
      <c r="F196" s="98">
        <v>700</v>
      </c>
      <c r="G196" s="41" t="s">
        <v>403</v>
      </c>
    </row>
    <row r="197" spans="3:8" ht="13.15" x14ac:dyDescent="0.25">
      <c r="C197" s="93" t="s">
        <v>156</v>
      </c>
      <c r="D197" s="90" t="s">
        <v>226</v>
      </c>
      <c r="E197" s="103">
        <v>200</v>
      </c>
      <c r="F197" s="98">
        <v>250</v>
      </c>
      <c r="G197" s="41" t="s">
        <v>402</v>
      </c>
    </row>
    <row r="198" spans="3:8" ht="13.15" x14ac:dyDescent="0.25">
      <c r="C198" s="93" t="s">
        <v>156</v>
      </c>
      <c r="D198" s="91" t="s">
        <v>227</v>
      </c>
      <c r="E198" s="103">
        <v>100</v>
      </c>
      <c r="F198" s="98">
        <v>150</v>
      </c>
      <c r="G198" s="41" t="s">
        <v>403</v>
      </c>
    </row>
    <row r="199" spans="3:8" ht="13.15" x14ac:dyDescent="0.25">
      <c r="C199" s="93" t="s">
        <v>156</v>
      </c>
      <c r="D199" s="91" t="s">
        <v>344</v>
      </c>
      <c r="E199" s="103">
        <v>100</v>
      </c>
      <c r="F199" s="98">
        <v>150</v>
      </c>
      <c r="G199" s="41" t="s">
        <v>402</v>
      </c>
    </row>
    <row r="200" spans="3:8" ht="13.15" x14ac:dyDescent="0.25">
      <c r="C200" s="93" t="s">
        <v>156</v>
      </c>
      <c r="D200" s="91" t="s">
        <v>179</v>
      </c>
      <c r="E200" s="103">
        <v>100</v>
      </c>
      <c r="F200" s="98">
        <v>150</v>
      </c>
      <c r="G200" s="41" t="s">
        <v>402</v>
      </c>
    </row>
    <row r="201" spans="3:8" ht="13.15" x14ac:dyDescent="0.25">
      <c r="C201" s="93" t="s">
        <v>156</v>
      </c>
      <c r="D201" s="91" t="s">
        <v>345</v>
      </c>
      <c r="E201" s="103">
        <v>100</v>
      </c>
      <c r="F201" s="98">
        <v>150</v>
      </c>
      <c r="G201" s="41" t="s">
        <v>526</v>
      </c>
    </row>
    <row r="202" spans="3:8" ht="13.15" x14ac:dyDescent="0.25">
      <c r="C202" s="139" t="s">
        <v>156</v>
      </c>
      <c r="D202" s="91" t="s">
        <v>358</v>
      </c>
      <c r="E202" s="103">
        <v>150</v>
      </c>
      <c r="F202" s="98">
        <v>200</v>
      </c>
      <c r="G202" s="41" t="s">
        <v>402</v>
      </c>
    </row>
    <row r="203" spans="3:8" ht="13.15" x14ac:dyDescent="0.25">
      <c r="C203" s="136" t="s">
        <v>156</v>
      </c>
      <c r="D203" s="141" t="s">
        <v>359</v>
      </c>
      <c r="E203" s="105">
        <v>200</v>
      </c>
      <c r="F203" s="138">
        <v>250</v>
      </c>
      <c r="G203" s="41" t="s">
        <v>403</v>
      </c>
    </row>
    <row r="204" spans="3:8" ht="13.15" x14ac:dyDescent="0.25">
      <c r="C204" s="145" t="s">
        <v>156</v>
      </c>
      <c r="D204" s="137" t="s">
        <v>544</v>
      </c>
      <c r="E204" s="105"/>
      <c r="F204" s="138"/>
      <c r="G204" s="148" t="s">
        <v>403</v>
      </c>
      <c r="H204">
        <v>0</v>
      </c>
    </row>
    <row r="205" spans="3:8" ht="13.15" x14ac:dyDescent="0.25">
      <c r="C205" s="145" t="s">
        <v>156</v>
      </c>
      <c r="D205" s="137" t="s">
        <v>545</v>
      </c>
      <c r="E205" s="105"/>
      <c r="F205" s="138"/>
      <c r="G205" s="148" t="s">
        <v>526</v>
      </c>
    </row>
    <row r="206" spans="3:8" ht="13.15" x14ac:dyDescent="0.25">
      <c r="C206" s="145" t="s">
        <v>156</v>
      </c>
      <c r="D206" s="137" t="s">
        <v>546</v>
      </c>
      <c r="E206" s="105"/>
      <c r="F206" s="138"/>
      <c r="G206" s="148" t="s">
        <v>526</v>
      </c>
    </row>
  </sheetData>
  <mergeCells count="3">
    <mergeCell ref="E1:E2"/>
    <mergeCell ref="F1:F2"/>
    <mergeCell ref="D1:D2"/>
  </mergeCells>
  <pageMargins left="0.7" right="0.7" top="0.75" bottom="0.75" header="0.3" footer="0.3"/>
  <pageSetup orientation="portrait" horizontalDpi="4294967294" verticalDpi="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28"/>
  <sheetViews>
    <sheetView tabSelected="1" workbookViewId="0">
      <selection activeCell="C29" sqref="C29"/>
    </sheetView>
  </sheetViews>
  <sheetFormatPr baseColWidth="10" defaultRowHeight="12.55" x14ac:dyDescent="0.2"/>
  <cols>
    <col min="2" max="2" width="11.5546875" style="142"/>
    <col min="3" max="3" width="13.77734375" customWidth="1"/>
  </cols>
  <sheetData>
    <row r="3" spans="2:11" ht="13.15" x14ac:dyDescent="0.25">
      <c r="B3" s="159" t="s">
        <v>361</v>
      </c>
      <c r="C3" s="159"/>
      <c r="D3" s="159"/>
      <c r="H3" s="159" t="s">
        <v>379</v>
      </c>
      <c r="I3" s="159"/>
      <c r="J3" s="159"/>
      <c r="K3" s="159"/>
    </row>
    <row r="4" spans="2:11" x14ac:dyDescent="0.2">
      <c r="B4" s="142">
        <v>1</v>
      </c>
      <c r="C4" s="41" t="s">
        <v>398</v>
      </c>
      <c r="H4" s="142">
        <v>1</v>
      </c>
      <c r="I4" s="41" t="s">
        <v>362</v>
      </c>
    </row>
    <row r="5" spans="2:11" x14ac:dyDescent="0.2">
      <c r="B5" s="142">
        <v>2</v>
      </c>
      <c r="C5" s="41" t="s">
        <v>399</v>
      </c>
      <c r="H5" s="142">
        <v>2</v>
      </c>
      <c r="I5" s="41" t="s">
        <v>363</v>
      </c>
    </row>
    <row r="6" spans="2:11" x14ac:dyDescent="0.2">
      <c r="B6" s="142">
        <v>3</v>
      </c>
      <c r="C6" s="41" t="s">
        <v>364</v>
      </c>
      <c r="H6" s="142">
        <v>3</v>
      </c>
      <c r="I6" s="41" t="s">
        <v>364</v>
      </c>
    </row>
    <row r="7" spans="2:11" x14ac:dyDescent="0.2">
      <c r="B7" s="142">
        <v>4</v>
      </c>
      <c r="C7" s="41" t="s">
        <v>401</v>
      </c>
      <c r="H7" s="142">
        <v>4</v>
      </c>
      <c r="I7" s="143" t="s">
        <v>365</v>
      </c>
    </row>
    <row r="8" spans="2:11" x14ac:dyDescent="0.2">
      <c r="B8" s="142">
        <v>5</v>
      </c>
      <c r="C8" s="41" t="s">
        <v>397</v>
      </c>
      <c r="H8" s="142">
        <v>5</v>
      </c>
      <c r="I8" s="143" t="s">
        <v>366</v>
      </c>
    </row>
    <row r="9" spans="2:11" x14ac:dyDescent="0.2">
      <c r="B9" s="142">
        <v>6</v>
      </c>
      <c r="C9" s="41" t="s">
        <v>400</v>
      </c>
      <c r="H9" s="142">
        <v>6</v>
      </c>
      <c r="I9" s="41" t="s">
        <v>368</v>
      </c>
    </row>
    <row r="10" spans="2:11" x14ac:dyDescent="0.2">
      <c r="B10" s="142">
        <v>7</v>
      </c>
      <c r="C10" s="41" t="s">
        <v>367</v>
      </c>
      <c r="H10" s="142">
        <v>7</v>
      </c>
      <c r="I10" s="143" t="s">
        <v>380</v>
      </c>
    </row>
    <row r="11" spans="2:11" x14ac:dyDescent="0.2">
      <c r="B11" s="142">
        <v>8</v>
      </c>
      <c r="C11" s="41" t="s">
        <v>368</v>
      </c>
      <c r="H11" s="142">
        <v>8</v>
      </c>
      <c r="I11" s="143" t="s">
        <v>369</v>
      </c>
    </row>
    <row r="12" spans="2:11" x14ac:dyDescent="0.2">
      <c r="B12" s="142">
        <v>9</v>
      </c>
      <c r="C12" s="41" t="s">
        <v>370</v>
      </c>
      <c r="H12" s="142">
        <v>9</v>
      </c>
      <c r="I12" s="143" t="s">
        <v>381</v>
      </c>
    </row>
    <row r="13" spans="2:11" x14ac:dyDescent="0.2">
      <c r="B13" s="142">
        <v>10</v>
      </c>
      <c r="C13" s="41" t="s">
        <v>551</v>
      </c>
      <c r="H13" s="142">
        <v>10</v>
      </c>
      <c r="I13" s="41" t="s">
        <v>376</v>
      </c>
    </row>
    <row r="14" spans="2:11" x14ac:dyDescent="0.2">
      <c r="B14" s="142">
        <v>11</v>
      </c>
      <c r="C14" s="41" t="s">
        <v>369</v>
      </c>
      <c r="H14" s="142">
        <v>11</v>
      </c>
      <c r="I14" s="41" t="s">
        <v>382</v>
      </c>
    </row>
    <row r="15" spans="2:11" x14ac:dyDescent="0.2">
      <c r="B15" s="142">
        <v>12</v>
      </c>
      <c r="C15" s="41" t="s">
        <v>552</v>
      </c>
      <c r="H15" s="142">
        <v>12</v>
      </c>
      <c r="I15" s="41" t="s">
        <v>391</v>
      </c>
    </row>
    <row r="16" spans="2:11" x14ac:dyDescent="0.2">
      <c r="B16" s="142">
        <v>13</v>
      </c>
      <c r="C16" s="41" t="s">
        <v>553</v>
      </c>
      <c r="H16" s="142">
        <v>13</v>
      </c>
      <c r="I16" s="41" t="s">
        <v>392</v>
      </c>
    </row>
    <row r="17" spans="2:9" x14ac:dyDescent="0.2">
      <c r="B17" s="142">
        <v>14</v>
      </c>
      <c r="C17" s="41" t="s">
        <v>371</v>
      </c>
      <c r="H17" s="142">
        <v>14</v>
      </c>
      <c r="I17" s="41" t="s">
        <v>393</v>
      </c>
    </row>
    <row r="18" spans="2:9" x14ac:dyDescent="0.2">
      <c r="B18" s="142">
        <v>15</v>
      </c>
      <c r="C18" s="41" t="s">
        <v>372</v>
      </c>
      <c r="H18" s="142">
        <v>15</v>
      </c>
      <c r="I18" s="41" t="s">
        <v>394</v>
      </c>
    </row>
    <row r="19" spans="2:9" x14ac:dyDescent="0.2">
      <c r="B19" s="142">
        <v>16</v>
      </c>
      <c r="C19" s="41" t="s">
        <v>373</v>
      </c>
      <c r="H19" s="142">
        <v>16</v>
      </c>
      <c r="I19" s="41" t="s">
        <v>383</v>
      </c>
    </row>
    <row r="20" spans="2:9" x14ac:dyDescent="0.2">
      <c r="B20" s="142">
        <v>17</v>
      </c>
      <c r="C20" s="41" t="s">
        <v>374</v>
      </c>
      <c r="H20" s="142">
        <v>17</v>
      </c>
      <c r="I20" s="41" t="s">
        <v>384</v>
      </c>
    </row>
    <row r="21" spans="2:9" x14ac:dyDescent="0.2">
      <c r="B21" s="142">
        <v>18</v>
      </c>
      <c r="C21" s="41" t="s">
        <v>375</v>
      </c>
      <c r="H21" s="142">
        <v>18</v>
      </c>
      <c r="I21" s="41" t="s">
        <v>385</v>
      </c>
    </row>
    <row r="22" spans="2:9" x14ac:dyDescent="0.2">
      <c r="B22" s="142">
        <v>19</v>
      </c>
      <c r="C22" s="41" t="s">
        <v>376</v>
      </c>
      <c r="H22" s="142">
        <v>19</v>
      </c>
      <c r="I22" s="41" t="s">
        <v>386</v>
      </c>
    </row>
    <row r="23" spans="2:9" x14ac:dyDescent="0.2">
      <c r="B23" s="142">
        <v>20</v>
      </c>
      <c r="C23" s="41" t="s">
        <v>377</v>
      </c>
      <c r="H23" s="142">
        <v>20</v>
      </c>
      <c r="I23" s="41" t="s">
        <v>387</v>
      </c>
    </row>
    <row r="24" spans="2:9" x14ac:dyDescent="0.2">
      <c r="B24" s="142">
        <v>21</v>
      </c>
      <c r="C24" s="41" t="s">
        <v>395</v>
      </c>
      <c r="H24" s="142">
        <v>21</v>
      </c>
      <c r="I24" s="41" t="s">
        <v>388</v>
      </c>
    </row>
    <row r="25" spans="2:9" x14ac:dyDescent="0.2">
      <c r="B25" s="142">
        <v>22</v>
      </c>
      <c r="C25" s="41" t="s">
        <v>396</v>
      </c>
      <c r="H25" s="142">
        <v>22</v>
      </c>
      <c r="I25" s="41" t="s">
        <v>389</v>
      </c>
    </row>
    <row r="26" spans="2:9" x14ac:dyDescent="0.2">
      <c r="B26" s="142">
        <v>23</v>
      </c>
      <c r="C26" s="41" t="s">
        <v>378</v>
      </c>
      <c r="H26" s="142">
        <v>23</v>
      </c>
      <c r="I26" s="41" t="s">
        <v>390</v>
      </c>
    </row>
    <row r="28" spans="2:9" x14ac:dyDescent="0.2">
      <c r="I28" s="143" t="s">
        <v>556</v>
      </c>
    </row>
  </sheetData>
  <mergeCells count="2">
    <mergeCell ref="B3:D3"/>
    <mergeCell ref="H3:K3"/>
  </mergeCells>
  <pageMargins left="0.7" right="0.7" top="0.75" bottom="0.75" header="0.3" footer="0.3"/>
  <pageSetup orientation="portrait" horizontalDpi="4294967294"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9F016D9D-D00A-4C89-B555-E2000C96D7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Productos-Precios de Venta</vt:lpstr>
      <vt:lpstr>Hoja1</vt:lpstr>
      <vt:lpstr>Productos-preciosDeCompra</vt:lpstr>
      <vt:lpstr>hoj</vt:lpstr>
      <vt:lpstr>Dest registrados 2026</vt:lpstr>
      <vt:lpstr>PRECIOS INSIGNIAS</vt:lpstr>
      <vt:lpstr>Orden Premios</vt:lpstr>
      <vt:lpstr>'Productos-Precios de Venta'!Área_de_impresión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 Bautista</dc:creator>
  <cp:keywords/>
  <dc:description/>
  <cp:lastModifiedBy>Adrian Bautista</cp:lastModifiedBy>
  <cp:lastPrinted>2026-05-08T14:42:55Z</cp:lastPrinted>
  <dcterms:created xsi:type="dcterms:W3CDTF">2024-02-20T01:32:58Z</dcterms:created>
  <dcterms:modified xsi:type="dcterms:W3CDTF">2026-09-19T17:03:53Z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TC010219733082</vt:lpwstr>
  </property>
</Properties>
</file>